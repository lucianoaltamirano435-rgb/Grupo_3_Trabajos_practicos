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Volumes/ADATA HD330/Maestría Economía Aplicada UBA/Taller de programación/Trabajos prácticos/Grupo_3_Trabajos_practicos/TP3/"/>
    </mc:Choice>
  </mc:AlternateContent>
  <xr:revisionPtr revIDLastSave="0" documentId="13_ncr:1_{065379FE-F5C4-264C-AC1A-2CCB03E90F8E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Diferencia_medias" sheetId="1" r:id="rId1"/>
    <sheet name="Modelo de regresión Logit" sheetId="2" r:id="rId2"/>
  </sheets>
  <definedNames>
    <definedName name="_xlnm._FilterDatabase" localSheetId="0" hidden="1">Diferencia_medias!$A$1:$G$66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2" i="1"/>
</calcChain>
</file>

<file path=xl/sharedStrings.xml><?xml version="1.0" encoding="utf-8"?>
<sst xmlns="http://schemas.openxmlformats.org/spreadsheetml/2006/main" count="149" uniqueCount="110">
  <si>
    <t>edad</t>
  </si>
  <si>
    <t>cant_ocupaciones_ad</t>
  </si>
  <si>
    <t>horas_s_principal</t>
  </si>
  <si>
    <t>horas_s_otras_act</t>
  </si>
  <si>
    <t>cod_ocupacion</t>
  </si>
  <si>
    <t>ingreso_ppal</t>
  </si>
  <si>
    <t>ingreso_total</t>
  </si>
  <si>
    <t>dummy_menor5</t>
  </si>
  <si>
    <t>edad2</t>
  </si>
  <si>
    <t>educ</t>
  </si>
  <si>
    <t>horastrab</t>
  </si>
  <si>
    <t>horastrabj</t>
  </si>
  <si>
    <t>nhogar</t>
  </si>
  <si>
    <t>parentesco_Hermano</t>
  </si>
  <si>
    <t>parentesco_Hijo o hijastro</t>
  </si>
  <si>
    <t>parentesco_Jefe</t>
  </si>
  <si>
    <t>parentesco_Madre o padre</t>
  </si>
  <si>
    <t>parentesco_Nieto</t>
  </si>
  <si>
    <t>parentesco_No son familiares</t>
  </si>
  <si>
    <t>parentesco_Otros</t>
  </si>
  <si>
    <t>parentesco_Suegro</t>
  </si>
  <si>
    <t>parentesco_Yerno o nuera</t>
  </si>
  <si>
    <t>nivel_ed_alto_Educación especial (discapacidad)</t>
  </si>
  <si>
    <t>nivel_ed_alto_Jardín/preescolar</t>
  </si>
  <si>
    <t>nivel_ed_alto_Polimodal</t>
  </si>
  <si>
    <t>nivel_ed_alto_Posgrado universitario</t>
  </si>
  <si>
    <t>nivel_ed_alto_Primario</t>
  </si>
  <si>
    <t>nivel_ed_alto_Secundario</t>
  </si>
  <si>
    <t>nivel_ed_alto_Terciario</t>
  </si>
  <si>
    <t>nivel_ed_alto_Universitario</t>
  </si>
  <si>
    <t>finalizacion_nivel_Sí</t>
  </si>
  <si>
    <t>nivel_ed_aprb_Educación especial</t>
  </si>
  <si>
    <t>nivel_ed_aprb_Ninguno</t>
  </si>
  <si>
    <t>nivel_ed_aprb_Noveno</t>
  </si>
  <si>
    <t>nivel_ed_aprb_Octavo</t>
  </si>
  <si>
    <t>nivel_ed_aprb_Primero</t>
  </si>
  <si>
    <t>nivel_ed_aprb_Quinto</t>
  </si>
  <si>
    <t>nivel_ed_aprb_Segundo</t>
  </si>
  <si>
    <t>nivel_ed_aprb_Sexto</t>
  </si>
  <si>
    <t>nivel_ed_aprb_Séptimo</t>
  </si>
  <si>
    <t>nivel_ed_aprb_Tercero</t>
  </si>
  <si>
    <t>sexo_Masculino</t>
  </si>
  <si>
    <t>estado_civil_Sin pareja</t>
  </si>
  <si>
    <t>nivel_ed2_Superior</t>
  </si>
  <si>
    <t>cobertura_med_No cobertura</t>
  </si>
  <si>
    <t>nivel_ed_cat_Primario incompleto</t>
  </si>
  <si>
    <t>nivel_ed_cat_Secundario completo</t>
  </si>
  <si>
    <t>nivel_ed_cat_Secundario incompleto</t>
  </si>
  <si>
    <t>nivel_ed_cat_Sin instruccion</t>
  </si>
  <si>
    <t>nivel_ed_cat_Superior completo</t>
  </si>
  <si>
    <t>nivel_ed_cat_Superior incompleto</t>
  </si>
  <si>
    <t>region_cat_Gran Buenos Aires</t>
  </si>
  <si>
    <t>region_cat_Noreste</t>
  </si>
  <si>
    <t>region_cat_Noroeste</t>
  </si>
  <si>
    <t>region_cat_Pampeana</t>
  </si>
  <si>
    <t>region_cat_Patagonia</t>
  </si>
  <si>
    <t>cat_ocup_cat_Obrero o empleado</t>
  </si>
  <si>
    <t>cat_ocup_cat_Patron</t>
  </si>
  <si>
    <t>cat_ocup_cat_Trab. familiar sin remuneracion</t>
  </si>
  <si>
    <t>comprobante_sal_cat_Factura</t>
  </si>
  <si>
    <t>comprobante_sal_cat_Nada</t>
  </si>
  <si>
    <t>comprobante_sal_cat_Recibo_nosello</t>
  </si>
  <si>
    <t>comprobante_sal_cat_Recibo_sello</t>
  </si>
  <si>
    <t>alcance_recibo_cat_Totalidad</t>
  </si>
  <si>
    <t>parte_sueldo_cat_Totalidad</t>
  </si>
  <si>
    <t>Variable</t>
  </si>
  <si>
    <t>Modelo 1 (2024)</t>
  </si>
  <si>
    <t>Modelo 2 (2025 MM)</t>
  </si>
  <si>
    <t>Coeficiente</t>
  </si>
  <si>
    <t>Error estandar</t>
  </si>
  <si>
    <t>Odds-ratio</t>
  </si>
  <si>
    <t>EMP</t>
  </si>
  <si>
    <t>EMP std. error</t>
  </si>
  <si>
    <t>Media de 2024</t>
  </si>
  <si>
    <t>Media 2025</t>
  </si>
  <si>
    <t>Diferencia</t>
  </si>
  <si>
    <t>Estadístico t</t>
  </si>
  <si>
    <t>Valor p</t>
  </si>
  <si>
    <t>Concordancia con las regresoras del modelo Logit</t>
  </si>
  <si>
    <t>Edad</t>
  </si>
  <si>
    <t>Contraste de diferencia de medias entre las bases de datos de la EPH de 2024 y 2025</t>
  </si>
  <si>
    <t>Recibo de la totalidad del sueldo</t>
  </si>
  <si>
    <t>Cantidad de ocupaciones adicionales</t>
  </si>
  <si>
    <t>Obrero o empleado</t>
  </si>
  <si>
    <t>Patrón</t>
  </si>
  <si>
    <t>No tiene cobertura médica</t>
  </si>
  <si>
    <t>El trabajador emite factura</t>
  </si>
  <si>
    <t>No recibe ni entrega ningún comprobante</t>
  </si>
  <si>
    <t>Recibe un papel sin membrete ni firma del empleador</t>
  </si>
  <si>
    <t>Recibe un recibo con sello y firma del empleador</t>
  </si>
  <si>
    <t>Presencia de menores de 5 años en el hogar</t>
  </si>
  <si>
    <t>Edad_sq</t>
  </si>
  <si>
    <t>Años de escolaridad</t>
  </si>
  <si>
    <t>Se encuentra sin pareja</t>
  </si>
  <si>
    <t>Horas de trabajo semanales de otras actividades</t>
  </si>
  <si>
    <t>Horas de trabajo semanales de la actividad principal</t>
  </si>
  <si>
    <t>Horas de trabajo semanales</t>
  </si>
  <si>
    <t>Ingresos de la actividad principal (log)</t>
  </si>
  <si>
    <t>Ingresos totales (log)</t>
  </si>
  <si>
    <t>Integrantes del hogar</t>
  </si>
  <si>
    <t>Parte del sueldo fuera del recibo</t>
  </si>
  <si>
    <t>Gran Buenos Aires</t>
  </si>
  <si>
    <t>Noreste</t>
  </si>
  <si>
    <t>Noroeste</t>
  </si>
  <si>
    <t>Pampeana</t>
  </si>
  <si>
    <t>Patagonia</t>
  </si>
  <si>
    <t>Masculino</t>
  </si>
  <si>
    <t>Condición de informal en 2024</t>
  </si>
  <si>
    <t>-</t>
  </si>
  <si>
    <t>Sexo 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</si>
</sst>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3" xfId="0" applyFont="1" applyBorder="1"/>
    <xf numFmtId="0" fontId="2" fillId="0" borderId="3" xfId="0" applyFont="1" applyBorder="1" applyAlignment="1">
      <alignment horizontal="center" vertical="center"/>
    </xf>
    <xf numFmtId="0" fontId="1" fillId="0" borderId="0" xfId="0" applyFont="1"/>
    <xf numFmtId="2" fontId="2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2" fontId="2" fillId="0" borderId="3" xfId="0" applyNumberFormat="1" applyFont="1" applyBorder="1"/>
    <xf numFmtId="0" fontId="2" fillId="0" borderId="0" xfId="0" applyFont="1" applyBorder="1"/>
    <xf numFmtId="2" fontId="2" fillId="0" borderId="0" xfId="0" applyNumberFormat="1" applyFont="1" applyBorder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vertical="center"/>
    </xf>
    <xf numFmtId="173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97"/>
  <sheetViews>
    <sheetView topLeftCell="A44" workbookViewId="0">
      <selection activeCell="A94" sqref="A94"/>
    </sheetView>
  </sheetViews>
  <sheetFormatPr baseColWidth="10" defaultColWidth="8.83203125" defaultRowHeight="14" x14ac:dyDescent="0.15"/>
  <cols>
    <col min="1" max="1" width="41.33203125" style="5" customWidth="1"/>
    <col min="2" max="2" width="13" style="5" bestFit="1" customWidth="1"/>
    <col min="3" max="3" width="11.1640625" style="5" bestFit="1" customWidth="1"/>
    <col min="4" max="4" width="9.1640625" style="5" bestFit="1" customWidth="1"/>
    <col min="5" max="5" width="11.1640625" style="5" bestFit="1" customWidth="1"/>
    <col min="6" max="6" width="7.5" style="5" bestFit="1" customWidth="1"/>
    <col min="7" max="7" width="42.33203125" style="5" hidden="1" customWidth="1"/>
    <col min="8" max="16384" width="8.83203125" style="5"/>
  </cols>
  <sheetData>
    <row r="1" spans="1:7" x14ac:dyDescent="0.15">
      <c r="A1" s="13" t="s">
        <v>65</v>
      </c>
      <c r="B1" s="13" t="s">
        <v>73</v>
      </c>
      <c r="C1" s="13" t="s">
        <v>74</v>
      </c>
      <c r="D1" s="13" t="s">
        <v>75</v>
      </c>
      <c r="E1" s="13" t="s">
        <v>76</v>
      </c>
      <c r="F1" s="13" t="s">
        <v>77</v>
      </c>
      <c r="G1" s="11" t="s">
        <v>78</v>
      </c>
    </row>
    <row r="2" spans="1:7" x14ac:dyDescent="0.15">
      <c r="A2" s="5" t="s">
        <v>0</v>
      </c>
      <c r="B2" s="10">
        <v>41.305700000000002</v>
      </c>
      <c r="C2" s="10">
        <v>41.859200000000001</v>
      </c>
      <c r="D2" s="10">
        <v>0.55349999999999999</v>
      </c>
      <c r="E2" s="10">
        <v>4.2298</v>
      </c>
      <c r="F2" s="10">
        <v>0</v>
      </c>
      <c r="G2" s="12">
        <f>MATCH($A2,'Modelo de regresión Logit'!$A$3:$A$27,0)</f>
        <v>10</v>
      </c>
    </row>
    <row r="3" spans="1:7" x14ac:dyDescent="0.15">
      <c r="A3" s="5" t="s">
        <v>1</v>
      </c>
      <c r="B3" s="10">
        <v>0.23039999999999999</v>
      </c>
      <c r="C3" s="10">
        <v>0.2374</v>
      </c>
      <c r="D3" s="10">
        <v>6.8999999999999999E-3</v>
      </c>
      <c r="E3" s="10">
        <v>0.97260000000000002</v>
      </c>
      <c r="F3" s="10">
        <v>0.33079999999999998</v>
      </c>
      <c r="G3" s="12" t="e">
        <f>MATCH($A3,'Modelo de regresión Logit'!$A$3:$A$27,0)</f>
        <v>#N/A</v>
      </c>
    </row>
    <row r="4" spans="1:7" x14ac:dyDescent="0.15">
      <c r="A4" s="5" t="s">
        <v>2</v>
      </c>
      <c r="B4" s="10">
        <v>35.863199999999999</v>
      </c>
      <c r="C4" s="10">
        <v>35.909799999999997</v>
      </c>
      <c r="D4" s="10">
        <v>4.6600000000000003E-2</v>
      </c>
      <c r="E4" s="10">
        <v>0.28749999999999998</v>
      </c>
      <c r="F4" s="10">
        <v>0.77370000000000005</v>
      </c>
      <c r="G4" s="12" t="e">
        <f>MATCH($A4,'Modelo de regresión Logit'!$A$3:$A$27,0)</f>
        <v>#N/A</v>
      </c>
    </row>
    <row r="5" spans="1:7" x14ac:dyDescent="0.15">
      <c r="A5" s="5" t="s">
        <v>3</v>
      </c>
      <c r="B5" s="10">
        <v>1.4391</v>
      </c>
      <c r="C5" s="10">
        <v>1.591</v>
      </c>
      <c r="D5" s="10">
        <v>0.152</v>
      </c>
      <c r="E5" s="10">
        <v>2.8504999999999998</v>
      </c>
      <c r="F5" s="10">
        <v>4.4000000000000003E-3</v>
      </c>
      <c r="G5" s="12" t="e">
        <f>MATCH($A5,'Modelo de regresión Logit'!$A$3:$A$27,0)</f>
        <v>#N/A</v>
      </c>
    </row>
    <row r="6" spans="1:7" hidden="1" x14ac:dyDescent="0.15">
      <c r="A6" s="5" t="s">
        <v>4</v>
      </c>
      <c r="B6" s="10">
        <v>45003.543799999999</v>
      </c>
      <c r="C6" s="10">
        <v>44960.441099999996</v>
      </c>
      <c r="D6" s="10">
        <v>-43.102699999999999</v>
      </c>
      <c r="E6" s="10">
        <v>-0.189</v>
      </c>
      <c r="F6" s="10">
        <v>0.85009999999999997</v>
      </c>
      <c r="G6" s="12" t="e">
        <f>MATCH($A6,'Modelo de regresión Logit'!$A$3:$A$27,0)</f>
        <v>#N/A</v>
      </c>
    </row>
    <row r="7" spans="1:7" x14ac:dyDescent="0.15">
      <c r="A7" s="5" t="s">
        <v>5</v>
      </c>
      <c r="B7" s="10">
        <v>13.0189</v>
      </c>
      <c r="C7" s="10">
        <v>13.426299999999999</v>
      </c>
      <c r="D7" s="10">
        <v>0.40739999999999998</v>
      </c>
      <c r="E7" s="10">
        <v>40.922699999999999</v>
      </c>
      <c r="F7" s="10">
        <v>0</v>
      </c>
      <c r="G7" s="12" t="e">
        <f>MATCH($A7,'Modelo de regresión Logit'!$A$3:$A$27,0)</f>
        <v>#N/A</v>
      </c>
    </row>
    <row r="8" spans="1:7" x14ac:dyDescent="0.15">
      <c r="A8" s="5" t="s">
        <v>6</v>
      </c>
      <c r="B8" s="10">
        <v>13.186400000000001</v>
      </c>
      <c r="C8" s="10">
        <v>13.581899999999999</v>
      </c>
      <c r="D8" s="10">
        <v>0.39550000000000002</v>
      </c>
      <c r="E8" s="10">
        <v>43.392600000000002</v>
      </c>
      <c r="F8" s="10">
        <v>0</v>
      </c>
      <c r="G8" s="12" t="e">
        <f>MATCH($A8,'Modelo de regresión Logit'!$A$3:$A$27,0)</f>
        <v>#N/A</v>
      </c>
    </row>
    <row r="9" spans="1:7" x14ac:dyDescent="0.15">
      <c r="A9" s="5" t="s">
        <v>7</v>
      </c>
      <c r="B9" s="10">
        <v>0.1691</v>
      </c>
      <c r="C9" s="10">
        <v>0.15959999999999999</v>
      </c>
      <c r="D9" s="10">
        <v>-9.4999999999999998E-3</v>
      </c>
      <c r="E9" s="10">
        <v>-2.5954000000000002</v>
      </c>
      <c r="F9" s="10">
        <v>9.4999999999999998E-3</v>
      </c>
      <c r="G9" s="12" t="e">
        <f>MATCH($A9,'Modelo de regresión Logit'!$A$3:$A$27,0)</f>
        <v>#N/A</v>
      </c>
    </row>
    <row r="10" spans="1:7" x14ac:dyDescent="0.15">
      <c r="A10" s="5" t="s">
        <v>8</v>
      </c>
      <c r="B10" s="10">
        <v>1878.6418000000001</v>
      </c>
      <c r="C10" s="10">
        <v>1928.6866</v>
      </c>
      <c r="D10" s="10">
        <v>50.044800000000002</v>
      </c>
      <c r="E10" s="10">
        <v>4.3287000000000004</v>
      </c>
      <c r="F10" s="10">
        <v>0</v>
      </c>
      <c r="G10" s="12" t="e">
        <f>MATCH($A10,'Modelo de regresión Logit'!$A$3:$A$27,0)</f>
        <v>#N/A</v>
      </c>
    </row>
    <row r="11" spans="1:7" x14ac:dyDescent="0.15">
      <c r="A11" s="5" t="s">
        <v>9</v>
      </c>
      <c r="B11" s="10">
        <v>12.0343</v>
      </c>
      <c r="C11" s="10">
        <v>11.9712</v>
      </c>
      <c r="D11" s="10">
        <v>-6.3E-2</v>
      </c>
      <c r="E11" s="10">
        <v>-1.7424999999999999</v>
      </c>
      <c r="F11" s="10">
        <v>8.14E-2</v>
      </c>
      <c r="G11" s="12" t="e">
        <f>MATCH($A11,'Modelo de regresión Logit'!$A$3:$A$27,0)</f>
        <v>#N/A</v>
      </c>
    </row>
    <row r="12" spans="1:7" x14ac:dyDescent="0.15">
      <c r="A12" s="5" t="s">
        <v>10</v>
      </c>
      <c r="B12" s="10">
        <v>38.806399999999996</v>
      </c>
      <c r="C12" s="10">
        <v>39.087899999999998</v>
      </c>
      <c r="D12" s="10">
        <v>0.28160000000000002</v>
      </c>
      <c r="E12" s="10">
        <v>1.1677</v>
      </c>
      <c r="F12" s="10">
        <v>0.2429</v>
      </c>
      <c r="G12" s="12" t="e">
        <f>MATCH($A12,'Modelo de regresión Logit'!$A$3:$A$27,0)</f>
        <v>#N/A</v>
      </c>
    </row>
    <row r="13" spans="1:7" hidden="1" x14ac:dyDescent="0.15">
      <c r="A13" s="5" t="s">
        <v>11</v>
      </c>
      <c r="B13" s="10">
        <v>38.755400000000002</v>
      </c>
      <c r="C13" s="10">
        <v>39.424700000000001</v>
      </c>
      <c r="D13" s="10">
        <v>0.66930000000000001</v>
      </c>
      <c r="E13" s="10">
        <v>3.5682</v>
      </c>
      <c r="F13" s="10">
        <v>4.0000000000000002E-4</v>
      </c>
      <c r="G13" s="12" t="e">
        <f>MATCH($A13,'Modelo de regresión Logit'!$A$3:$A$27,0)</f>
        <v>#N/A</v>
      </c>
    </row>
    <row r="14" spans="1:7" x14ac:dyDescent="0.15">
      <c r="A14" s="5" t="s">
        <v>12</v>
      </c>
      <c r="B14" s="10">
        <v>3.5874000000000001</v>
      </c>
      <c r="C14" s="10">
        <v>3.5859999999999999</v>
      </c>
      <c r="D14" s="10">
        <v>-1.4E-3</v>
      </c>
      <c r="E14" s="10">
        <v>-7.8299999999999995E-2</v>
      </c>
      <c r="F14" s="10">
        <v>0.93759999999999999</v>
      </c>
      <c r="G14" s="12" t="e">
        <f>MATCH($A14,'Modelo de regresión Logit'!$A$3:$A$27,0)</f>
        <v>#N/A</v>
      </c>
    </row>
    <row r="15" spans="1:7" hidden="1" x14ac:dyDescent="0.15">
      <c r="A15" s="5" t="s">
        <v>13</v>
      </c>
      <c r="B15" s="10">
        <v>1.7299999999999999E-2</v>
      </c>
      <c r="C15" s="10">
        <v>1.78E-2</v>
      </c>
      <c r="D15" s="10">
        <v>5.0000000000000001E-4</v>
      </c>
      <c r="E15" s="10">
        <v>0.42030000000000001</v>
      </c>
      <c r="F15" s="10">
        <v>0.67430000000000001</v>
      </c>
      <c r="G15" s="12" t="e">
        <f>MATCH($A15,'Modelo de regresión Logit'!$A$3:$A$27,0)</f>
        <v>#N/A</v>
      </c>
    </row>
    <row r="16" spans="1:7" hidden="1" x14ac:dyDescent="0.15">
      <c r="A16" s="5" t="s">
        <v>14</v>
      </c>
      <c r="B16" s="10">
        <v>0.222</v>
      </c>
      <c r="C16" s="10">
        <v>0.22239999999999999</v>
      </c>
      <c r="D16" s="10">
        <v>4.0000000000000002E-4</v>
      </c>
      <c r="E16" s="10">
        <v>9.0300000000000005E-2</v>
      </c>
      <c r="F16" s="10">
        <v>0.92800000000000005</v>
      </c>
      <c r="G16" s="12" t="e">
        <f>MATCH($A16,'Modelo de regresión Logit'!$A$3:$A$27,0)</f>
        <v>#N/A</v>
      </c>
    </row>
    <row r="17" spans="1:7" hidden="1" x14ac:dyDescent="0.15">
      <c r="A17" s="5" t="s">
        <v>15</v>
      </c>
      <c r="B17" s="10">
        <v>0.49170000000000003</v>
      </c>
      <c r="C17" s="10">
        <v>0.48780000000000001</v>
      </c>
      <c r="D17" s="10">
        <v>-3.8999999999999998E-3</v>
      </c>
      <c r="E17" s="10">
        <v>-0.77869999999999995</v>
      </c>
      <c r="F17" s="10">
        <v>0.43619999999999998</v>
      </c>
      <c r="G17" s="12" t="e">
        <f>MATCH($A17,'Modelo de regresión Logit'!$A$3:$A$27,0)</f>
        <v>#N/A</v>
      </c>
    </row>
    <row r="18" spans="1:7" hidden="1" x14ac:dyDescent="0.15">
      <c r="A18" s="5" t="s">
        <v>16</v>
      </c>
      <c r="B18" s="10">
        <v>4.1999999999999997E-3</v>
      </c>
      <c r="C18" s="10">
        <v>4.3E-3</v>
      </c>
      <c r="D18" s="10">
        <v>1E-4</v>
      </c>
      <c r="E18" s="10">
        <v>0.156</v>
      </c>
      <c r="F18" s="10">
        <v>0.87609999999999999</v>
      </c>
      <c r="G18" s="12" t="e">
        <f>MATCH($A18,'Modelo de regresión Logit'!$A$3:$A$27,0)</f>
        <v>#N/A</v>
      </c>
    </row>
    <row r="19" spans="1:7" hidden="1" x14ac:dyDescent="0.15">
      <c r="A19" s="5" t="s">
        <v>17</v>
      </c>
      <c r="B19" s="10">
        <v>1.15E-2</v>
      </c>
      <c r="C19" s="10">
        <v>1.4500000000000001E-2</v>
      </c>
      <c r="D19" s="10">
        <v>3.0000000000000001E-3</v>
      </c>
      <c r="E19" s="10">
        <v>2.6859000000000002</v>
      </c>
      <c r="F19" s="10">
        <v>7.1999999999999998E-3</v>
      </c>
      <c r="G19" s="12" t="e">
        <f>MATCH($A19,'Modelo de regresión Logit'!$A$3:$A$27,0)</f>
        <v>#N/A</v>
      </c>
    </row>
    <row r="20" spans="1:7" hidden="1" x14ac:dyDescent="0.15">
      <c r="A20" s="5" t="s">
        <v>18</v>
      </c>
      <c r="B20" s="10">
        <v>4.0000000000000001E-3</v>
      </c>
      <c r="C20" s="10">
        <v>2.8E-3</v>
      </c>
      <c r="D20" s="10">
        <v>-1.1999999999999999E-3</v>
      </c>
      <c r="E20" s="10">
        <v>-2.1383999999999999</v>
      </c>
      <c r="F20" s="10">
        <v>3.2500000000000001E-2</v>
      </c>
      <c r="G20" s="12" t="e">
        <f>MATCH($A20,'Modelo de regresión Logit'!$A$3:$A$27,0)</f>
        <v>#N/A</v>
      </c>
    </row>
    <row r="21" spans="1:7" hidden="1" x14ac:dyDescent="0.15">
      <c r="A21" s="5" t="s">
        <v>19</v>
      </c>
      <c r="B21" s="10">
        <v>9.4999999999999998E-3</v>
      </c>
      <c r="C21" s="10">
        <v>9.1999999999999998E-3</v>
      </c>
      <c r="D21" s="10">
        <v>-2.9999999999999997E-4</v>
      </c>
      <c r="E21" s="10">
        <v>-0.33879999999999999</v>
      </c>
      <c r="F21" s="10">
        <v>0.73470000000000002</v>
      </c>
      <c r="G21" s="12" t="e">
        <f>MATCH($A21,'Modelo de regresión Logit'!$A$3:$A$27,0)</f>
        <v>#N/A</v>
      </c>
    </row>
    <row r="22" spans="1:7" hidden="1" x14ac:dyDescent="0.15">
      <c r="A22" s="5" t="s">
        <v>20</v>
      </c>
      <c r="B22" s="10">
        <v>4.0000000000000002E-4</v>
      </c>
      <c r="C22" s="10">
        <v>8.0000000000000004E-4</v>
      </c>
      <c r="D22" s="10">
        <v>2.9999999999999997E-4</v>
      </c>
      <c r="E22" s="10">
        <v>1.3843000000000001</v>
      </c>
      <c r="F22" s="10">
        <v>0.1663</v>
      </c>
      <c r="G22" s="12" t="e">
        <f>MATCH($A22,'Modelo de regresión Logit'!$A$3:$A$27,0)</f>
        <v>#N/A</v>
      </c>
    </row>
    <row r="23" spans="1:7" hidden="1" x14ac:dyDescent="0.15">
      <c r="A23" s="5" t="s">
        <v>21</v>
      </c>
      <c r="B23" s="10">
        <v>1.7500000000000002E-2</v>
      </c>
      <c r="C23" s="10">
        <v>1.7100000000000001E-2</v>
      </c>
      <c r="D23" s="10">
        <v>-5.0000000000000001E-4</v>
      </c>
      <c r="E23" s="10">
        <v>-0.3498</v>
      </c>
      <c r="F23" s="10">
        <v>0.72650000000000003</v>
      </c>
      <c r="G23" s="12" t="e">
        <f>MATCH($A23,'Modelo de regresión Logit'!$A$3:$A$27,0)</f>
        <v>#N/A</v>
      </c>
    </row>
    <row r="24" spans="1:7" hidden="1" x14ac:dyDescent="0.15">
      <c r="A24" s="5" t="s">
        <v>22</v>
      </c>
      <c r="B24" s="10">
        <v>4.0000000000000002E-4</v>
      </c>
      <c r="C24" s="10">
        <v>6.9999999999999999E-4</v>
      </c>
      <c r="D24" s="10">
        <v>2.9999999999999997E-4</v>
      </c>
      <c r="E24" s="10">
        <v>1.2015</v>
      </c>
      <c r="F24" s="10">
        <v>0.2296</v>
      </c>
      <c r="G24" s="12" t="e">
        <f>MATCH($A24,'Modelo de regresión Logit'!$A$3:$A$27,0)</f>
        <v>#N/A</v>
      </c>
    </row>
    <row r="25" spans="1:7" hidden="1" x14ac:dyDescent="0.15">
      <c r="A25" s="5" t="s">
        <v>23</v>
      </c>
      <c r="B25" s="10">
        <v>5.9999999999999995E-4</v>
      </c>
      <c r="C25" s="10">
        <v>8.0000000000000004E-4</v>
      </c>
      <c r="D25" s="10">
        <v>2.0000000000000001E-4</v>
      </c>
      <c r="E25" s="10">
        <v>0.75670000000000004</v>
      </c>
      <c r="F25" s="10">
        <v>0.44919999999999999</v>
      </c>
      <c r="G25" s="12" t="e">
        <f>MATCH($A25,'Modelo de regresión Logit'!$A$3:$A$27,0)</f>
        <v>#N/A</v>
      </c>
    </row>
    <row r="26" spans="1:7" hidden="1" x14ac:dyDescent="0.15">
      <c r="A26" s="5" t="s">
        <v>24</v>
      </c>
      <c r="B26" s="10">
        <v>1.8200000000000001E-2</v>
      </c>
      <c r="C26" s="10">
        <v>1.7399999999999999E-2</v>
      </c>
      <c r="D26" s="10">
        <v>-8.0000000000000004E-4</v>
      </c>
      <c r="E26" s="10">
        <v>-0.61880000000000002</v>
      </c>
      <c r="F26" s="10">
        <v>0.53600000000000003</v>
      </c>
      <c r="G26" s="12" t="e">
        <f>MATCH($A26,'Modelo de regresión Logit'!$A$3:$A$27,0)</f>
        <v>#N/A</v>
      </c>
    </row>
    <row r="27" spans="1:7" hidden="1" x14ac:dyDescent="0.15">
      <c r="A27" s="5" t="s">
        <v>25</v>
      </c>
      <c r="B27" s="10">
        <v>1.5800000000000002E-2</v>
      </c>
      <c r="C27" s="10">
        <v>1.4200000000000001E-2</v>
      </c>
      <c r="D27" s="10">
        <v>-1.5E-3</v>
      </c>
      <c r="E27" s="10">
        <v>-1.2838000000000001</v>
      </c>
      <c r="F27" s="10">
        <v>0.19919999999999999</v>
      </c>
      <c r="G27" s="12" t="e">
        <f>MATCH($A27,'Modelo de regresión Logit'!$A$3:$A$27,0)</f>
        <v>#N/A</v>
      </c>
    </row>
    <row r="28" spans="1:7" hidden="1" x14ac:dyDescent="0.15">
      <c r="A28" s="5" t="s">
        <v>26</v>
      </c>
      <c r="B28" s="10">
        <v>0.12509999999999999</v>
      </c>
      <c r="C28" s="10">
        <v>0.13059999999999999</v>
      </c>
      <c r="D28" s="10">
        <v>5.4999999999999997E-3</v>
      </c>
      <c r="E28" s="10">
        <v>1.6637</v>
      </c>
      <c r="F28" s="10">
        <v>9.6199999999999994E-2</v>
      </c>
      <c r="G28" s="12" t="e">
        <f>MATCH($A28,'Modelo de regresión Logit'!$A$3:$A$27,0)</f>
        <v>#N/A</v>
      </c>
    </row>
    <row r="29" spans="1:7" hidden="1" x14ac:dyDescent="0.15">
      <c r="A29" s="5" t="s">
        <v>27</v>
      </c>
      <c r="B29" s="10">
        <v>0.45500000000000002</v>
      </c>
      <c r="C29" s="10">
        <v>0.4607</v>
      </c>
      <c r="D29" s="10">
        <v>5.7000000000000002E-3</v>
      </c>
      <c r="E29" s="10">
        <v>1.1475</v>
      </c>
      <c r="F29" s="10">
        <v>0.25119999999999998</v>
      </c>
      <c r="G29" s="12" t="e">
        <f>MATCH($A29,'Modelo de regresión Logit'!$A$3:$A$27,0)</f>
        <v>#N/A</v>
      </c>
    </row>
    <row r="30" spans="1:7" hidden="1" x14ac:dyDescent="0.15">
      <c r="A30" s="5" t="s">
        <v>28</v>
      </c>
      <c r="B30" s="10">
        <v>0.14899999999999999</v>
      </c>
      <c r="C30" s="10">
        <v>0.15310000000000001</v>
      </c>
      <c r="D30" s="10">
        <v>4.1000000000000003E-3</v>
      </c>
      <c r="E30" s="10">
        <v>1.1547000000000001</v>
      </c>
      <c r="F30" s="10">
        <v>0.2482</v>
      </c>
      <c r="G30" s="12" t="e">
        <f>MATCH($A30,'Modelo de regresión Logit'!$A$3:$A$27,0)</f>
        <v>#N/A</v>
      </c>
    </row>
    <row r="31" spans="1:7" hidden="1" x14ac:dyDescent="0.15">
      <c r="A31" s="5" t="s">
        <v>29</v>
      </c>
      <c r="B31" s="10">
        <v>0.22389999999999999</v>
      </c>
      <c r="C31" s="10">
        <v>0.21099999999999999</v>
      </c>
      <c r="D31" s="10">
        <v>-1.2800000000000001E-2</v>
      </c>
      <c r="E31" s="10">
        <v>-3.1446999999999998</v>
      </c>
      <c r="F31" s="10">
        <v>1.6999999999999999E-3</v>
      </c>
      <c r="G31" s="12" t="e">
        <f>MATCH($A31,'Modelo de regresión Logit'!$A$3:$A$27,0)</f>
        <v>#N/A</v>
      </c>
    </row>
    <row r="32" spans="1:7" hidden="1" x14ac:dyDescent="0.15">
      <c r="A32" s="5" t="s">
        <v>30</v>
      </c>
      <c r="B32" s="10">
        <v>0.66569999999999996</v>
      </c>
      <c r="C32" s="10">
        <v>0.67330000000000001</v>
      </c>
      <c r="D32" s="10">
        <v>7.4999999999999997E-3</v>
      </c>
      <c r="E32" s="10">
        <v>1.6198999999999999</v>
      </c>
      <c r="F32" s="10">
        <v>0.1053</v>
      </c>
      <c r="G32" s="12" t="e">
        <f>MATCH($A32,'Modelo de regresión Logit'!$A$3:$A$27,0)</f>
        <v>#N/A</v>
      </c>
    </row>
    <row r="33" spans="1:7" hidden="1" x14ac:dyDescent="0.15">
      <c r="A33" s="5" t="s">
        <v>31</v>
      </c>
      <c r="B33" s="10">
        <v>2.9999999999999997E-4</v>
      </c>
      <c r="C33" s="10">
        <v>5.0000000000000001E-4</v>
      </c>
      <c r="D33" s="10">
        <v>1E-4</v>
      </c>
      <c r="E33" s="10">
        <v>0.63739999999999997</v>
      </c>
      <c r="F33" s="10">
        <v>0.52390000000000003</v>
      </c>
      <c r="G33" s="12" t="e">
        <f>MATCH($A33,'Modelo de regresión Logit'!$A$3:$A$27,0)</f>
        <v>#N/A</v>
      </c>
    </row>
    <row r="34" spans="1:7" hidden="1" x14ac:dyDescent="0.15">
      <c r="A34" s="5" t="s">
        <v>32</v>
      </c>
      <c r="B34" s="10">
        <v>2.01E-2</v>
      </c>
      <c r="C34" s="10">
        <v>1.89E-2</v>
      </c>
      <c r="D34" s="10">
        <v>-1.1999999999999999E-3</v>
      </c>
      <c r="E34" s="10">
        <v>-0.85850000000000004</v>
      </c>
      <c r="F34" s="10">
        <v>0.3906</v>
      </c>
      <c r="G34" s="12" t="e">
        <f>MATCH($A34,'Modelo de regresión Logit'!$A$3:$A$27,0)</f>
        <v>#N/A</v>
      </c>
    </row>
    <row r="35" spans="1:7" hidden="1" x14ac:dyDescent="0.15">
      <c r="A35" s="5" t="s">
        <v>33</v>
      </c>
      <c r="B35" s="10">
        <v>4.0000000000000002E-4</v>
      </c>
      <c r="C35" s="10">
        <v>4.0000000000000002E-4</v>
      </c>
      <c r="D35" s="10">
        <v>0</v>
      </c>
      <c r="E35" s="10">
        <v>-9.7900000000000001E-2</v>
      </c>
      <c r="F35" s="10">
        <v>0.92200000000000004</v>
      </c>
      <c r="G35" s="12" t="e">
        <f>MATCH($A35,'Modelo de regresión Logit'!$A$3:$A$27,0)</f>
        <v>#N/A</v>
      </c>
    </row>
    <row r="36" spans="1:7" hidden="1" x14ac:dyDescent="0.15">
      <c r="A36" s="5" t="s">
        <v>34</v>
      </c>
      <c r="B36" s="10">
        <v>2.7000000000000001E-3</v>
      </c>
      <c r="C36" s="10">
        <v>2.7000000000000001E-3</v>
      </c>
      <c r="D36" s="10">
        <v>0</v>
      </c>
      <c r="E36" s="10">
        <v>8.5400000000000004E-2</v>
      </c>
      <c r="F36" s="10">
        <v>0.93189999999999995</v>
      </c>
      <c r="G36" s="12" t="e">
        <f>MATCH($A36,'Modelo de regresión Logit'!$A$3:$A$27,0)</f>
        <v>#N/A</v>
      </c>
    </row>
    <row r="37" spans="1:7" hidden="1" x14ac:dyDescent="0.15">
      <c r="A37" s="5" t="s">
        <v>35</v>
      </c>
      <c r="B37" s="10">
        <v>5.0999999999999997E-2</v>
      </c>
      <c r="C37" s="10">
        <v>4.8599999999999997E-2</v>
      </c>
      <c r="D37" s="10">
        <v>-2.3E-3</v>
      </c>
      <c r="E37" s="10">
        <v>-1.0824</v>
      </c>
      <c r="F37" s="10">
        <v>0.27910000000000001</v>
      </c>
      <c r="G37" s="12" t="e">
        <f>MATCH($A37,'Modelo de regresión Logit'!$A$3:$A$27,0)</f>
        <v>#N/A</v>
      </c>
    </row>
    <row r="38" spans="1:7" hidden="1" x14ac:dyDescent="0.15">
      <c r="A38" s="5" t="s">
        <v>36</v>
      </c>
      <c r="B38" s="10">
        <v>2.1100000000000001E-2</v>
      </c>
      <c r="C38" s="10">
        <v>1.9599999999999999E-2</v>
      </c>
      <c r="D38" s="10">
        <v>-1.5E-3</v>
      </c>
      <c r="E38" s="10">
        <v>-1.0431999999999999</v>
      </c>
      <c r="F38" s="10">
        <v>0.2969</v>
      </c>
      <c r="G38" s="12" t="e">
        <f>MATCH($A38,'Modelo de regresión Logit'!$A$3:$A$27,0)</f>
        <v>#N/A</v>
      </c>
    </row>
    <row r="39" spans="1:7" hidden="1" x14ac:dyDescent="0.15">
      <c r="A39" s="5" t="s">
        <v>37</v>
      </c>
      <c r="B39" s="10">
        <v>8.9599999999999999E-2</v>
      </c>
      <c r="C39" s="10">
        <v>8.3000000000000004E-2</v>
      </c>
      <c r="D39" s="10">
        <v>-6.6E-3</v>
      </c>
      <c r="E39" s="10">
        <v>-2.3831000000000002</v>
      </c>
      <c r="F39" s="10">
        <v>1.72E-2</v>
      </c>
      <c r="G39" s="12" t="e">
        <f>MATCH($A39,'Modelo de regresión Logit'!$A$3:$A$27,0)</f>
        <v>#N/A</v>
      </c>
    </row>
    <row r="40" spans="1:7" hidden="1" x14ac:dyDescent="0.15">
      <c r="A40" s="5" t="s">
        <v>38</v>
      </c>
      <c r="B40" s="10">
        <v>6.8999999999999999E-3</v>
      </c>
      <c r="C40" s="10">
        <v>6.0000000000000001E-3</v>
      </c>
      <c r="D40" s="10">
        <v>-8.9999999999999998E-4</v>
      </c>
      <c r="E40" s="10">
        <v>-1.1021000000000001</v>
      </c>
      <c r="F40" s="10">
        <v>0.27039999999999997</v>
      </c>
      <c r="G40" s="12" t="e">
        <f>MATCH($A40,'Modelo de regresión Logit'!$A$3:$A$27,0)</f>
        <v>#N/A</v>
      </c>
    </row>
    <row r="41" spans="1:7" hidden="1" x14ac:dyDescent="0.15">
      <c r="A41" s="5" t="s">
        <v>39</v>
      </c>
      <c r="B41" s="10">
        <v>1.8E-3</v>
      </c>
      <c r="C41" s="10">
        <v>1E-3</v>
      </c>
      <c r="D41" s="10">
        <v>-8.0000000000000004E-4</v>
      </c>
      <c r="E41" s="10">
        <v>-2.1194999999999999</v>
      </c>
      <c r="F41" s="10">
        <v>3.4099999999999998E-2</v>
      </c>
      <c r="G41" s="12" t="e">
        <f>MATCH($A41,'Modelo de regresión Logit'!$A$3:$A$27,0)</f>
        <v>#N/A</v>
      </c>
    </row>
    <row r="42" spans="1:7" hidden="1" x14ac:dyDescent="0.15">
      <c r="A42" s="5" t="s">
        <v>40</v>
      </c>
      <c r="B42" s="10">
        <v>8.0199999999999994E-2</v>
      </c>
      <c r="C42" s="10">
        <v>8.1600000000000006E-2</v>
      </c>
      <c r="D42" s="10">
        <v>1.4E-3</v>
      </c>
      <c r="E42" s="10">
        <v>0.50790000000000002</v>
      </c>
      <c r="F42" s="10">
        <v>0.61150000000000004</v>
      </c>
      <c r="G42" s="12" t="e">
        <f>MATCH($A42,'Modelo de regresión Logit'!$A$3:$A$27,0)</f>
        <v>#N/A</v>
      </c>
    </row>
    <row r="43" spans="1:7" x14ac:dyDescent="0.15">
      <c r="A43" s="5" t="s">
        <v>41</v>
      </c>
      <c r="B43" s="10">
        <v>0.55000000000000004</v>
      </c>
      <c r="C43" s="10">
        <v>0.54510000000000003</v>
      </c>
      <c r="D43" s="10">
        <v>-4.8999999999999998E-3</v>
      </c>
      <c r="E43" s="10">
        <v>-0.99139999999999995</v>
      </c>
      <c r="F43" s="10">
        <v>0.32150000000000001</v>
      </c>
      <c r="G43" s="12" t="e">
        <f>MATCH($A43,'Modelo de regresión Logit'!$A$3:$A$27,0)</f>
        <v>#N/A</v>
      </c>
    </row>
    <row r="44" spans="1:7" x14ac:dyDescent="0.15">
      <c r="A44" s="5" t="s">
        <v>42</v>
      </c>
      <c r="B44" s="10">
        <v>0.46460000000000001</v>
      </c>
      <c r="C44" s="10">
        <v>0.4657</v>
      </c>
      <c r="D44" s="10">
        <v>1.1000000000000001E-3</v>
      </c>
      <c r="E44" s="10">
        <v>0.2286</v>
      </c>
      <c r="F44" s="10">
        <v>0.81920000000000004</v>
      </c>
      <c r="G44" s="12" t="e">
        <f>MATCH($A44,'Modelo de regresión Logit'!$A$3:$A$27,0)</f>
        <v>#N/A</v>
      </c>
    </row>
    <row r="45" spans="1:7" hidden="1" x14ac:dyDescent="0.15">
      <c r="A45" s="5" t="s">
        <v>43</v>
      </c>
      <c r="B45" s="10">
        <v>0.38879999999999998</v>
      </c>
      <c r="C45" s="10">
        <v>0.37859999999999999</v>
      </c>
      <c r="D45" s="10">
        <v>-1.03E-2</v>
      </c>
      <c r="E45" s="10">
        <v>-2.1337000000000002</v>
      </c>
      <c r="F45" s="10">
        <v>3.2899999999999999E-2</v>
      </c>
      <c r="G45" s="12" t="e">
        <f>MATCH($A45,'Modelo de regresión Logit'!$A$3:$A$27,0)</f>
        <v>#N/A</v>
      </c>
    </row>
    <row r="46" spans="1:7" x14ac:dyDescent="0.15">
      <c r="A46" s="5" t="s">
        <v>44</v>
      </c>
      <c r="B46" s="10">
        <v>0.29310000000000003</v>
      </c>
      <c r="C46" s="10">
        <v>0.30349999999999999</v>
      </c>
      <c r="D46" s="10">
        <v>1.04E-2</v>
      </c>
      <c r="E46" s="10">
        <v>2.2999999999999998</v>
      </c>
      <c r="F46" s="10">
        <v>2.1499999999999998E-2</v>
      </c>
      <c r="G46" s="12" t="e">
        <f>MATCH($A46,'Modelo de regresión Logit'!$A$3:$A$27,0)</f>
        <v>#N/A</v>
      </c>
    </row>
    <row r="47" spans="1:7" hidden="1" x14ac:dyDescent="0.15">
      <c r="A47" s="5" t="s">
        <v>45</v>
      </c>
      <c r="B47" s="10">
        <v>2.53E-2</v>
      </c>
      <c r="C47" s="10">
        <v>2.64E-2</v>
      </c>
      <c r="D47" s="10">
        <v>1.1000000000000001E-3</v>
      </c>
      <c r="E47" s="10">
        <v>0.68779999999999997</v>
      </c>
      <c r="F47" s="10">
        <v>0.49159999999999998</v>
      </c>
      <c r="G47" s="12" t="e">
        <f>MATCH($A47,'Modelo de regresión Logit'!$A$3:$A$27,0)</f>
        <v>#N/A</v>
      </c>
    </row>
    <row r="48" spans="1:7" hidden="1" x14ac:dyDescent="0.15">
      <c r="A48" s="5" t="s">
        <v>46</v>
      </c>
      <c r="B48" s="10">
        <v>0.32040000000000002</v>
      </c>
      <c r="C48" s="10">
        <v>0.32700000000000001</v>
      </c>
      <c r="D48" s="10">
        <v>6.6E-3</v>
      </c>
      <c r="E48" s="10">
        <v>1.4286000000000001</v>
      </c>
      <c r="F48" s="10">
        <v>0.15310000000000001</v>
      </c>
      <c r="G48" s="12" t="e">
        <f>MATCH($A48,'Modelo de regresión Logit'!$A$3:$A$27,0)</f>
        <v>#N/A</v>
      </c>
    </row>
    <row r="49" spans="1:7" hidden="1" x14ac:dyDescent="0.15">
      <c r="A49" s="5" t="s">
        <v>47</v>
      </c>
      <c r="B49" s="10">
        <v>0.1588</v>
      </c>
      <c r="C49" s="10">
        <v>0.15770000000000001</v>
      </c>
      <c r="D49" s="10">
        <v>-1.1000000000000001E-3</v>
      </c>
      <c r="E49" s="10">
        <v>-0.29959999999999998</v>
      </c>
      <c r="F49" s="10">
        <v>0.76449999999999996</v>
      </c>
      <c r="G49" s="12" t="e">
        <f>MATCH($A49,'Modelo de regresión Logit'!$A$3:$A$27,0)</f>
        <v>#N/A</v>
      </c>
    </row>
    <row r="50" spans="1:7" hidden="1" x14ac:dyDescent="0.15">
      <c r="A50" s="5" t="s">
        <v>48</v>
      </c>
      <c r="B50" s="10">
        <v>1.6999999999999999E-3</v>
      </c>
      <c r="C50" s="10">
        <v>1.8E-3</v>
      </c>
      <c r="D50" s="10">
        <v>2.0000000000000001E-4</v>
      </c>
      <c r="E50" s="10">
        <v>0.41449999999999998</v>
      </c>
      <c r="F50" s="10">
        <v>0.67849999999999999</v>
      </c>
      <c r="G50" s="12" t="e">
        <f>MATCH($A50,'Modelo de regresión Logit'!$A$3:$A$27,0)</f>
        <v>#N/A</v>
      </c>
    </row>
    <row r="51" spans="1:7" hidden="1" x14ac:dyDescent="0.15">
      <c r="A51" s="5" t="s">
        <v>49</v>
      </c>
      <c r="B51" s="10">
        <v>0.24229999999999999</v>
      </c>
      <c r="C51" s="10">
        <v>0.2374</v>
      </c>
      <c r="D51" s="10">
        <v>-4.8999999999999998E-3</v>
      </c>
      <c r="E51" s="10">
        <v>-1.1473</v>
      </c>
      <c r="F51" s="10">
        <v>0.25130000000000002</v>
      </c>
      <c r="G51" s="12" t="e">
        <f>MATCH($A51,'Modelo de regresión Logit'!$A$3:$A$27,0)</f>
        <v>#N/A</v>
      </c>
    </row>
    <row r="52" spans="1:7" hidden="1" x14ac:dyDescent="0.15">
      <c r="A52" s="5" t="s">
        <v>50</v>
      </c>
      <c r="B52" s="10">
        <v>0.14660000000000001</v>
      </c>
      <c r="C52" s="10">
        <v>0.1411</v>
      </c>
      <c r="D52" s="10">
        <v>-5.4000000000000003E-3</v>
      </c>
      <c r="E52" s="10">
        <v>-1.5609999999999999</v>
      </c>
      <c r="F52" s="10">
        <v>0.11849999999999999</v>
      </c>
      <c r="G52" s="12" t="e">
        <f>MATCH($A52,'Modelo de regresión Logit'!$A$3:$A$27,0)</f>
        <v>#N/A</v>
      </c>
    </row>
    <row r="53" spans="1:7" x14ac:dyDescent="0.15">
      <c r="A53" s="5" t="s">
        <v>51</v>
      </c>
      <c r="B53" s="10">
        <v>0.17519999999999999</v>
      </c>
      <c r="C53" s="10">
        <v>0.16969999999999999</v>
      </c>
      <c r="D53" s="10">
        <v>-5.4999999999999997E-3</v>
      </c>
      <c r="E53" s="10">
        <v>-1.4628000000000001</v>
      </c>
      <c r="F53" s="10">
        <v>0.14349999999999999</v>
      </c>
      <c r="G53" s="12" t="e">
        <f>MATCH($A53,'Modelo de regresión Logit'!$A$3:$A$27,0)</f>
        <v>#N/A</v>
      </c>
    </row>
    <row r="54" spans="1:7" x14ac:dyDescent="0.15">
      <c r="A54" s="5" t="s">
        <v>52</v>
      </c>
      <c r="B54" s="10">
        <v>9.5200000000000007E-2</v>
      </c>
      <c r="C54" s="10">
        <v>8.8700000000000001E-2</v>
      </c>
      <c r="D54" s="10">
        <v>-6.4000000000000003E-3</v>
      </c>
      <c r="E54" s="10">
        <v>-2.246</v>
      </c>
      <c r="F54" s="10">
        <v>2.47E-2</v>
      </c>
      <c r="G54" s="12" t="e">
        <f>MATCH($A54,'Modelo de regresión Logit'!$A$3:$A$27,0)</f>
        <v>#N/A</v>
      </c>
    </row>
    <row r="55" spans="1:7" x14ac:dyDescent="0.15">
      <c r="A55" s="5" t="s">
        <v>53</v>
      </c>
      <c r="B55" s="10">
        <v>0.21390000000000001</v>
      </c>
      <c r="C55" s="10">
        <v>0.2195</v>
      </c>
      <c r="D55" s="10">
        <v>5.5999999999999999E-3</v>
      </c>
      <c r="E55" s="10">
        <v>1.365</v>
      </c>
      <c r="F55" s="10">
        <v>0.17230000000000001</v>
      </c>
      <c r="G55" s="12" t="e">
        <f>MATCH($A55,'Modelo de regresión Logit'!$A$3:$A$27,0)</f>
        <v>#N/A</v>
      </c>
    </row>
    <row r="56" spans="1:7" x14ac:dyDescent="0.15">
      <c r="A56" s="5" t="s">
        <v>54</v>
      </c>
      <c r="B56" s="10">
        <v>0.2979</v>
      </c>
      <c r="C56" s="10">
        <v>0.31359999999999999</v>
      </c>
      <c r="D56" s="10">
        <v>1.5699999999999999E-2</v>
      </c>
      <c r="E56" s="10">
        <v>3.44</v>
      </c>
      <c r="F56" s="10">
        <v>5.9999999999999995E-4</v>
      </c>
      <c r="G56" s="12" t="e">
        <f>MATCH($A56,'Modelo de regresión Logit'!$A$3:$A$27,0)</f>
        <v>#N/A</v>
      </c>
    </row>
    <row r="57" spans="1:7" x14ac:dyDescent="0.15">
      <c r="A57" s="5" t="s">
        <v>55</v>
      </c>
      <c r="B57" s="10">
        <v>0.1173</v>
      </c>
      <c r="C57" s="10">
        <v>0.1095</v>
      </c>
      <c r="D57" s="10">
        <v>-7.7999999999999996E-3</v>
      </c>
      <c r="E57" s="10">
        <v>-2.4889000000000001</v>
      </c>
      <c r="F57" s="10">
        <v>1.2800000000000001E-2</v>
      </c>
      <c r="G57" s="12" t="e">
        <f>MATCH($A57,'Modelo de regresión Logit'!$A$3:$A$27,0)</f>
        <v>#N/A</v>
      </c>
    </row>
    <row r="58" spans="1:7" x14ac:dyDescent="0.15">
      <c r="A58" s="5" t="s">
        <v>56</v>
      </c>
      <c r="B58" s="10">
        <v>0.72360000000000002</v>
      </c>
      <c r="C58" s="10">
        <v>0.70779999999999998</v>
      </c>
      <c r="D58" s="10">
        <v>-1.5800000000000002E-2</v>
      </c>
      <c r="E58" s="10">
        <v>-3.5369999999999999</v>
      </c>
      <c r="F58" s="10">
        <v>4.0000000000000002E-4</v>
      </c>
      <c r="G58" s="12" t="e">
        <f>MATCH($A58,'Modelo de regresión Logit'!$A$3:$A$27,0)</f>
        <v>#N/A</v>
      </c>
    </row>
    <row r="59" spans="1:7" x14ac:dyDescent="0.15">
      <c r="A59" s="5" t="s">
        <v>57</v>
      </c>
      <c r="B59" s="10">
        <v>3.5799999999999998E-2</v>
      </c>
      <c r="C59" s="10">
        <v>3.6600000000000001E-2</v>
      </c>
      <c r="D59" s="10">
        <v>8.0000000000000004E-4</v>
      </c>
      <c r="E59" s="10">
        <v>0.42159999999999997</v>
      </c>
      <c r="F59" s="10">
        <v>0.67330000000000001</v>
      </c>
      <c r="G59" s="12" t="e">
        <f>MATCH($A59,'Modelo de regresión Logit'!$A$3:$A$27,0)</f>
        <v>#N/A</v>
      </c>
    </row>
    <row r="60" spans="1:7" hidden="1" x14ac:dyDescent="0.15">
      <c r="A60" s="5" t="s">
        <v>58</v>
      </c>
      <c r="B60" s="10">
        <v>4.4000000000000003E-3</v>
      </c>
      <c r="C60" s="10">
        <v>4.5999999999999999E-3</v>
      </c>
      <c r="D60" s="10">
        <v>1E-4</v>
      </c>
      <c r="E60" s="10">
        <v>0.182</v>
      </c>
      <c r="F60" s="10">
        <v>0.85560000000000003</v>
      </c>
      <c r="G60" s="12" t="e">
        <f>MATCH($A60,'Modelo de regresión Logit'!$A$3:$A$27,0)</f>
        <v>#N/A</v>
      </c>
    </row>
    <row r="61" spans="1:7" x14ac:dyDescent="0.15">
      <c r="A61" s="5" t="s">
        <v>59</v>
      </c>
      <c r="B61" s="10">
        <v>2.9100000000000001E-2</v>
      </c>
      <c r="C61" s="10">
        <v>2.9499999999999998E-2</v>
      </c>
      <c r="D61" s="10">
        <v>5.0000000000000001E-4</v>
      </c>
      <c r="E61" s="10">
        <v>0.29370000000000002</v>
      </c>
      <c r="F61" s="10">
        <v>0.76900000000000002</v>
      </c>
      <c r="G61" s="12" t="e">
        <f>MATCH($A61,'Modelo de regresión Logit'!$A$3:$A$27,0)</f>
        <v>#N/A</v>
      </c>
    </row>
    <row r="62" spans="1:7" x14ac:dyDescent="0.15">
      <c r="A62" s="5" t="s">
        <v>60</v>
      </c>
      <c r="B62" s="10">
        <v>0.20830000000000001</v>
      </c>
      <c r="C62" s="10">
        <v>0.20880000000000001</v>
      </c>
      <c r="D62" s="10">
        <v>5.0000000000000001E-4</v>
      </c>
      <c r="E62" s="10">
        <v>0.1343</v>
      </c>
      <c r="F62" s="10">
        <v>0.8931</v>
      </c>
      <c r="G62" s="12" t="e">
        <f>MATCH($A62,'Modelo de regresión Logit'!$A$3:$A$27,0)</f>
        <v>#N/A</v>
      </c>
    </row>
    <row r="63" spans="1:7" x14ac:dyDescent="0.15">
      <c r="A63" s="5" t="s">
        <v>61</v>
      </c>
      <c r="B63" s="10">
        <v>1.7000000000000001E-2</v>
      </c>
      <c r="C63" s="10">
        <v>1.52E-2</v>
      </c>
      <c r="D63" s="10">
        <v>-1.9E-3</v>
      </c>
      <c r="E63" s="10">
        <v>-1.4905999999999999</v>
      </c>
      <c r="F63" s="10">
        <v>0.1361</v>
      </c>
      <c r="G63" s="12" t="e">
        <f>MATCH($A63,'Modelo de regresión Logit'!$A$3:$A$27,0)</f>
        <v>#N/A</v>
      </c>
    </row>
    <row r="64" spans="1:7" x14ac:dyDescent="0.15">
      <c r="A64" s="5" t="s">
        <v>62</v>
      </c>
      <c r="B64" s="10">
        <v>0.46389999999999998</v>
      </c>
      <c r="C64" s="10">
        <v>0.44950000000000001</v>
      </c>
      <c r="D64" s="10">
        <v>-1.4500000000000001E-2</v>
      </c>
      <c r="E64" s="10">
        <v>-2.9300999999999999</v>
      </c>
      <c r="F64" s="10">
        <v>3.3999999999999998E-3</v>
      </c>
      <c r="G64" s="12" t="e">
        <f>MATCH($A64,'Modelo de regresión Logit'!$A$3:$A$27,0)</f>
        <v>#N/A</v>
      </c>
    </row>
    <row r="65" spans="1:7" x14ac:dyDescent="0.15">
      <c r="A65" s="5" t="s">
        <v>63</v>
      </c>
      <c r="B65" s="10">
        <v>0.4456</v>
      </c>
      <c r="C65" s="10">
        <v>0.43190000000000001</v>
      </c>
      <c r="D65" s="10">
        <v>-1.37E-2</v>
      </c>
      <c r="E65" s="10">
        <v>-2.7793999999999999</v>
      </c>
      <c r="F65" s="10">
        <v>5.4000000000000003E-3</v>
      </c>
      <c r="G65" s="12" t="e">
        <f>MATCH($A65,'Modelo de regresión Logit'!$A$3:$A$27,0)</f>
        <v>#N/A</v>
      </c>
    </row>
    <row r="66" spans="1:7" x14ac:dyDescent="0.15">
      <c r="A66" s="7" t="s">
        <v>64</v>
      </c>
      <c r="B66" s="14">
        <v>5.4999999999999997E-3</v>
      </c>
      <c r="C66" s="14">
        <v>5.7000000000000002E-3</v>
      </c>
      <c r="D66" s="14">
        <v>2.0000000000000001E-4</v>
      </c>
      <c r="E66" s="14">
        <v>0.26960000000000001</v>
      </c>
      <c r="F66" s="14">
        <v>0.78739999999999999</v>
      </c>
      <c r="G66" s="12" t="e">
        <f>MATCH($A66,'Modelo de regresión Logit'!$A$3:$A$27,0)</f>
        <v>#N/A</v>
      </c>
    </row>
    <row r="69" spans="1:7" x14ac:dyDescent="0.15">
      <c r="A69" s="9" t="s">
        <v>80</v>
      </c>
    </row>
    <row r="70" spans="1:7" x14ac:dyDescent="0.15">
      <c r="A70" s="13" t="s">
        <v>65</v>
      </c>
      <c r="B70" s="13" t="s">
        <v>73</v>
      </c>
      <c r="C70" s="13" t="s">
        <v>74</v>
      </c>
      <c r="D70" s="13" t="s">
        <v>75</v>
      </c>
      <c r="E70" s="13" t="s">
        <v>76</v>
      </c>
      <c r="F70" s="13" t="s">
        <v>77</v>
      </c>
    </row>
    <row r="71" spans="1:7" x14ac:dyDescent="0.15">
      <c r="A71" s="5" t="s">
        <v>81</v>
      </c>
      <c r="B71" s="10">
        <v>0.4456</v>
      </c>
      <c r="C71" s="10">
        <v>0.43190000000000001</v>
      </c>
      <c r="D71" s="10">
        <v>-1.37E-2</v>
      </c>
      <c r="E71" s="10">
        <v>-2.7793999999999999</v>
      </c>
      <c r="F71" s="10">
        <v>5.4000000000000003E-3</v>
      </c>
    </row>
    <row r="72" spans="1:7" x14ac:dyDescent="0.15">
      <c r="A72" s="5" t="s">
        <v>82</v>
      </c>
      <c r="B72" s="10">
        <v>0.23039999999999999</v>
      </c>
      <c r="C72" s="10">
        <v>0.2374</v>
      </c>
      <c r="D72" s="10">
        <v>6.8999999999999999E-3</v>
      </c>
      <c r="E72" s="10">
        <v>0.97260000000000002</v>
      </c>
      <c r="F72" s="10">
        <v>0.33079999999999998</v>
      </c>
    </row>
    <row r="73" spans="1:7" x14ac:dyDescent="0.15">
      <c r="A73" s="5" t="s">
        <v>83</v>
      </c>
      <c r="B73" s="10">
        <v>0.72360000000000002</v>
      </c>
      <c r="C73" s="10">
        <v>0.70779999999999998</v>
      </c>
      <c r="D73" s="10">
        <v>-1.5800000000000002E-2</v>
      </c>
      <c r="E73" s="10">
        <v>-3.5369999999999999</v>
      </c>
      <c r="F73" s="10">
        <v>4.0000000000000002E-4</v>
      </c>
    </row>
    <row r="74" spans="1:7" x14ac:dyDescent="0.15">
      <c r="A74" s="5" t="s">
        <v>84</v>
      </c>
      <c r="B74" s="10">
        <v>3.5799999999999998E-2</v>
      </c>
      <c r="C74" s="10">
        <v>3.6600000000000001E-2</v>
      </c>
      <c r="D74" s="10">
        <v>8.0000000000000004E-4</v>
      </c>
      <c r="E74" s="10">
        <v>0.42159999999999997</v>
      </c>
      <c r="F74" s="10">
        <v>0.67330000000000001</v>
      </c>
    </row>
    <row r="75" spans="1:7" x14ac:dyDescent="0.15">
      <c r="A75" s="5" t="s">
        <v>85</v>
      </c>
      <c r="B75" s="10">
        <v>0.29310000000000003</v>
      </c>
      <c r="C75" s="10">
        <v>0.30349999999999999</v>
      </c>
      <c r="D75" s="10">
        <v>1.04E-2</v>
      </c>
      <c r="E75" s="10">
        <v>2.2999999999999998</v>
      </c>
      <c r="F75" s="10">
        <v>2.1499999999999998E-2</v>
      </c>
    </row>
    <row r="76" spans="1:7" x14ac:dyDescent="0.15">
      <c r="A76" s="5" t="s">
        <v>86</v>
      </c>
      <c r="B76" s="10">
        <v>2.9100000000000001E-2</v>
      </c>
      <c r="C76" s="10">
        <v>2.9499999999999998E-2</v>
      </c>
      <c r="D76" s="10">
        <v>5.0000000000000001E-4</v>
      </c>
      <c r="E76" s="10">
        <v>0.29370000000000002</v>
      </c>
      <c r="F76" s="10">
        <v>0.76900000000000002</v>
      </c>
    </row>
    <row r="77" spans="1:7" x14ac:dyDescent="0.15">
      <c r="A77" s="5" t="s">
        <v>87</v>
      </c>
      <c r="B77" s="10">
        <v>0.20830000000000001</v>
      </c>
      <c r="C77" s="10">
        <v>0.20880000000000001</v>
      </c>
      <c r="D77" s="10">
        <v>5.0000000000000001E-4</v>
      </c>
      <c r="E77" s="10">
        <v>0.1343</v>
      </c>
      <c r="F77" s="10">
        <v>0.8931</v>
      </c>
    </row>
    <row r="78" spans="1:7" x14ac:dyDescent="0.15">
      <c r="A78" s="5" t="s">
        <v>88</v>
      </c>
      <c r="B78" s="10">
        <v>1.7000000000000001E-2</v>
      </c>
      <c r="C78" s="10">
        <v>1.52E-2</v>
      </c>
      <c r="D78" s="10">
        <v>-1.9E-3</v>
      </c>
      <c r="E78" s="10">
        <v>-1.4905999999999999</v>
      </c>
      <c r="F78" s="10">
        <v>0.1361</v>
      </c>
    </row>
    <row r="79" spans="1:7" x14ac:dyDescent="0.15">
      <c r="A79" s="5" t="s">
        <v>89</v>
      </c>
      <c r="B79" s="10">
        <v>0.46389999999999998</v>
      </c>
      <c r="C79" s="10">
        <v>0.44950000000000001</v>
      </c>
      <c r="D79" s="10">
        <v>-1.4500000000000001E-2</v>
      </c>
      <c r="E79" s="10">
        <v>-2.9300999999999999</v>
      </c>
      <c r="F79" s="10">
        <v>3.3999999999999998E-3</v>
      </c>
    </row>
    <row r="80" spans="1:7" x14ac:dyDescent="0.15">
      <c r="A80" s="5" t="s">
        <v>90</v>
      </c>
      <c r="B80" s="10">
        <v>0.1691</v>
      </c>
      <c r="C80" s="10">
        <v>0.15959999999999999</v>
      </c>
      <c r="D80" s="10">
        <v>-9.4999999999999998E-3</v>
      </c>
      <c r="E80" s="10">
        <v>-2.5954000000000002</v>
      </c>
      <c r="F80" s="10">
        <v>9.4999999999999998E-3</v>
      </c>
    </row>
    <row r="81" spans="1:6" x14ac:dyDescent="0.15">
      <c r="A81" s="5" t="s">
        <v>79</v>
      </c>
      <c r="B81" s="10">
        <v>41.305700000000002</v>
      </c>
      <c r="C81" s="10">
        <v>41.859200000000001</v>
      </c>
      <c r="D81" s="10">
        <v>0.55349999999999999</v>
      </c>
      <c r="E81" s="10">
        <v>4.2298</v>
      </c>
      <c r="F81" s="10">
        <v>0</v>
      </c>
    </row>
    <row r="82" spans="1:6" x14ac:dyDescent="0.15">
      <c r="A82" s="5" t="s">
        <v>91</v>
      </c>
      <c r="B82" s="10">
        <v>1878.6418000000001</v>
      </c>
      <c r="C82" s="10">
        <v>1928.6866</v>
      </c>
      <c r="D82" s="10">
        <v>50.044800000000002</v>
      </c>
      <c r="E82" s="10">
        <v>4.3287000000000004</v>
      </c>
      <c r="F82" s="10">
        <v>0</v>
      </c>
    </row>
    <row r="83" spans="1:6" x14ac:dyDescent="0.15">
      <c r="A83" s="5" t="s">
        <v>92</v>
      </c>
      <c r="B83" s="10">
        <v>12.0343</v>
      </c>
      <c r="C83" s="10">
        <v>11.9712</v>
      </c>
      <c r="D83" s="10">
        <v>-6.3E-2</v>
      </c>
      <c r="E83" s="10">
        <v>-1.7424999999999999</v>
      </c>
      <c r="F83" s="10">
        <v>8.14E-2</v>
      </c>
    </row>
    <row r="84" spans="1:6" x14ac:dyDescent="0.15">
      <c r="A84" s="5" t="s">
        <v>93</v>
      </c>
      <c r="B84" s="10">
        <v>0.46460000000000001</v>
      </c>
      <c r="C84" s="10">
        <v>0.4657</v>
      </c>
      <c r="D84" s="10">
        <v>1.1000000000000001E-3</v>
      </c>
      <c r="E84" s="10">
        <v>0.2286</v>
      </c>
      <c r="F84" s="10">
        <v>0.81920000000000004</v>
      </c>
    </row>
    <row r="85" spans="1:6" x14ac:dyDescent="0.15">
      <c r="A85" s="5" t="s">
        <v>94</v>
      </c>
      <c r="B85" s="10">
        <v>1.4391</v>
      </c>
      <c r="C85" s="10">
        <v>1.591</v>
      </c>
      <c r="D85" s="10">
        <v>0.152</v>
      </c>
      <c r="E85" s="10">
        <v>2.8504999999999998</v>
      </c>
      <c r="F85" s="10">
        <v>4.4000000000000003E-3</v>
      </c>
    </row>
    <row r="86" spans="1:6" x14ac:dyDescent="0.15">
      <c r="A86" s="5" t="s">
        <v>95</v>
      </c>
      <c r="B86" s="10">
        <v>35.863199999999999</v>
      </c>
      <c r="C86" s="10">
        <v>35.909799999999997</v>
      </c>
      <c r="D86" s="10">
        <v>4.6600000000000003E-2</v>
      </c>
      <c r="E86" s="10">
        <v>0.28749999999999998</v>
      </c>
      <c r="F86" s="10">
        <v>0.77370000000000005</v>
      </c>
    </row>
    <row r="87" spans="1:6" x14ac:dyDescent="0.15">
      <c r="A87" s="5" t="s">
        <v>96</v>
      </c>
      <c r="B87" s="10">
        <v>38.806399999999996</v>
      </c>
      <c r="C87" s="10">
        <v>39.087899999999998</v>
      </c>
      <c r="D87" s="10">
        <v>0.28160000000000002</v>
      </c>
      <c r="E87" s="10">
        <v>1.1677</v>
      </c>
      <c r="F87" s="10">
        <v>0.2429</v>
      </c>
    </row>
    <row r="88" spans="1:6" x14ac:dyDescent="0.15">
      <c r="A88" s="5" t="s">
        <v>97</v>
      </c>
      <c r="B88" s="10">
        <v>13.0189</v>
      </c>
      <c r="C88" s="10">
        <v>13.426299999999999</v>
      </c>
      <c r="D88" s="10">
        <v>0.40739999999999998</v>
      </c>
      <c r="E88" s="10">
        <v>40.922699999999999</v>
      </c>
      <c r="F88" s="10">
        <v>0</v>
      </c>
    </row>
    <row r="89" spans="1:6" x14ac:dyDescent="0.15">
      <c r="A89" s="5" t="s">
        <v>98</v>
      </c>
      <c r="B89" s="10">
        <v>13.186400000000001</v>
      </c>
      <c r="C89" s="10">
        <v>13.581899999999999</v>
      </c>
      <c r="D89" s="10">
        <v>0.39550000000000002</v>
      </c>
      <c r="E89" s="10">
        <v>43.392600000000002</v>
      </c>
      <c r="F89" s="10">
        <v>0</v>
      </c>
    </row>
    <row r="90" spans="1:6" x14ac:dyDescent="0.15">
      <c r="A90" s="5" t="s">
        <v>99</v>
      </c>
      <c r="B90" s="10">
        <v>3.5874000000000001</v>
      </c>
      <c r="C90" s="10">
        <v>3.5859999999999999</v>
      </c>
      <c r="D90" s="10">
        <v>-1.4E-3</v>
      </c>
      <c r="E90" s="10">
        <v>-7.8299999999999995E-2</v>
      </c>
      <c r="F90" s="10">
        <v>0.93759999999999999</v>
      </c>
    </row>
    <row r="91" spans="1:6" x14ac:dyDescent="0.15">
      <c r="A91" s="15" t="s">
        <v>100</v>
      </c>
      <c r="B91" s="16">
        <v>5.4999999999999997E-3</v>
      </c>
      <c r="C91" s="16">
        <v>5.7000000000000002E-3</v>
      </c>
      <c r="D91" s="16">
        <v>2.0000000000000001E-4</v>
      </c>
      <c r="E91" s="16">
        <v>0.26960000000000001</v>
      </c>
      <c r="F91" s="16">
        <v>0.78739999999999999</v>
      </c>
    </row>
    <row r="92" spans="1:6" x14ac:dyDescent="0.15">
      <c r="A92" s="5" t="s">
        <v>101</v>
      </c>
      <c r="B92" s="10">
        <v>0.17519999999999999</v>
      </c>
      <c r="C92" s="10">
        <v>0.16969999999999999</v>
      </c>
      <c r="D92" s="10">
        <v>-5.4999999999999997E-3</v>
      </c>
      <c r="E92" s="10">
        <v>-1.4628000000000001</v>
      </c>
      <c r="F92" s="10">
        <v>0.14349999999999999</v>
      </c>
    </row>
    <row r="93" spans="1:6" x14ac:dyDescent="0.15">
      <c r="A93" s="5" t="s">
        <v>102</v>
      </c>
      <c r="B93" s="10">
        <v>9.5200000000000007E-2</v>
      </c>
      <c r="C93" s="10">
        <v>8.8700000000000001E-2</v>
      </c>
      <c r="D93" s="10">
        <v>-6.4000000000000003E-3</v>
      </c>
      <c r="E93" s="10">
        <v>-2.246</v>
      </c>
      <c r="F93" s="10">
        <v>2.47E-2</v>
      </c>
    </row>
    <row r="94" spans="1:6" x14ac:dyDescent="0.15">
      <c r="A94" s="5" t="s">
        <v>103</v>
      </c>
      <c r="B94" s="10">
        <v>0.21390000000000001</v>
      </c>
      <c r="C94" s="10">
        <v>0.2195</v>
      </c>
      <c r="D94" s="10">
        <v>5.5999999999999999E-3</v>
      </c>
      <c r="E94" s="10">
        <v>1.365</v>
      </c>
      <c r="F94" s="10">
        <v>0.17230000000000001</v>
      </c>
    </row>
    <row r="95" spans="1:6" x14ac:dyDescent="0.15">
      <c r="A95" s="5" t="s">
        <v>104</v>
      </c>
      <c r="B95" s="10">
        <v>0.2979</v>
      </c>
      <c r="C95" s="10">
        <v>0.31359999999999999</v>
      </c>
      <c r="D95" s="10">
        <v>1.5699999999999999E-2</v>
      </c>
      <c r="E95" s="10">
        <v>3.44</v>
      </c>
      <c r="F95" s="10">
        <v>5.9999999999999995E-4</v>
      </c>
    </row>
    <row r="96" spans="1:6" x14ac:dyDescent="0.15">
      <c r="A96" s="5" t="s">
        <v>105</v>
      </c>
      <c r="B96" s="10">
        <v>0.1173</v>
      </c>
      <c r="C96" s="10">
        <v>0.1095</v>
      </c>
      <c r="D96" s="10">
        <v>-7.7999999999999996E-3</v>
      </c>
      <c r="E96" s="10">
        <v>-2.4889000000000001</v>
      </c>
      <c r="F96" s="10">
        <v>1.2800000000000001E-2</v>
      </c>
    </row>
    <row r="97" spans="1:6" x14ac:dyDescent="0.15">
      <c r="A97" s="7" t="s">
        <v>106</v>
      </c>
      <c r="B97" s="14">
        <v>0.55000000000000004</v>
      </c>
      <c r="C97" s="14">
        <v>0.54510000000000003</v>
      </c>
      <c r="D97" s="14">
        <v>-4.8999999999999998E-3</v>
      </c>
      <c r="E97" s="14">
        <v>-0.99139999999999995</v>
      </c>
      <c r="F97" s="14">
        <v>0.32150000000000001</v>
      </c>
    </row>
  </sheetData>
  <autoFilter ref="A1:G66" xr:uid="{00000000-0001-0000-0000-000000000000}">
    <filterColumn colId="6">
      <filters>
        <filter val="1"/>
        <filter val="10"/>
        <filter val="11"/>
        <filter val="12"/>
        <filter val="13"/>
        <filter val="14"/>
        <filter val="15"/>
        <filter val="16"/>
        <filter val="17"/>
        <filter val="19"/>
        <filter val="2"/>
        <filter val="20"/>
        <filter val="21"/>
        <filter val="22"/>
        <filter val="23"/>
        <filter val="24"/>
        <filter val="25"/>
        <filter val="26"/>
        <filter val="27"/>
        <filter val="28"/>
        <filter val="3"/>
        <filter val="4"/>
        <filter val="5"/>
        <filter val="6"/>
        <filter val="7"/>
        <filter val="8"/>
        <filter val="9"/>
      </filters>
    </filterColumn>
  </autoFilter>
  <sortState xmlns:xlrd2="http://schemas.microsoft.com/office/spreadsheetml/2017/richdata2" ref="A71:F97">
    <sortCondition ref="A71:A97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F4957-477D-214C-8083-C8F1FBED7C3E}">
  <dimension ref="A1:K27"/>
  <sheetViews>
    <sheetView tabSelected="1" workbookViewId="0">
      <selection activeCell="H8" sqref="H8"/>
    </sheetView>
  </sheetViews>
  <sheetFormatPr baseColWidth="10" defaultRowHeight="15" x14ac:dyDescent="0.2"/>
  <cols>
    <col min="1" max="1" width="41.1640625" customWidth="1"/>
    <col min="2" max="2" width="10.1640625" bestFit="1" customWidth="1"/>
    <col min="3" max="3" width="13.33203125" bestFit="1" customWidth="1"/>
    <col min="4" max="4" width="10" bestFit="1" customWidth="1"/>
    <col min="5" max="5" width="7.83203125" bestFit="1" customWidth="1"/>
    <col min="6" max="6" width="13.33203125" bestFit="1" customWidth="1"/>
    <col min="7" max="7" width="10.1640625" bestFit="1" customWidth="1"/>
    <col min="8" max="8" width="13.33203125" bestFit="1" customWidth="1"/>
    <col min="9" max="9" width="12.33203125" bestFit="1" customWidth="1"/>
    <col min="10" max="10" width="7.83203125" bestFit="1" customWidth="1"/>
    <col min="11" max="11" width="13.33203125" bestFit="1" customWidth="1"/>
  </cols>
  <sheetData>
    <row r="1" spans="1:11" x14ac:dyDescent="0.2">
      <c r="A1" s="1" t="s">
        <v>65</v>
      </c>
      <c r="B1" s="2" t="s">
        <v>66</v>
      </c>
      <c r="C1" s="2"/>
      <c r="D1" s="2"/>
      <c r="E1" s="2"/>
      <c r="F1" s="2"/>
      <c r="G1" s="2" t="s">
        <v>67</v>
      </c>
      <c r="H1" s="2"/>
      <c r="I1" s="2"/>
      <c r="J1" s="2"/>
      <c r="K1" s="2"/>
    </row>
    <row r="2" spans="1:11" x14ac:dyDescent="0.2">
      <c r="A2" s="3"/>
      <c r="B2" s="22" t="s">
        <v>68</v>
      </c>
      <c r="C2" s="22" t="s">
        <v>69</v>
      </c>
      <c r="D2" s="22" t="s">
        <v>70</v>
      </c>
      <c r="E2" s="4" t="s">
        <v>71</v>
      </c>
      <c r="F2" s="22" t="s">
        <v>72</v>
      </c>
      <c r="G2" s="22" t="s">
        <v>68</v>
      </c>
      <c r="H2" s="22" t="s">
        <v>69</v>
      </c>
      <c r="I2" s="4" t="s">
        <v>70</v>
      </c>
      <c r="J2" s="4" t="s">
        <v>71</v>
      </c>
      <c r="K2" s="22" t="s">
        <v>72</v>
      </c>
    </row>
    <row r="3" spans="1:11" x14ac:dyDescent="0.2">
      <c r="A3" s="17" t="s">
        <v>81</v>
      </c>
      <c r="B3" s="18">
        <v>7.1300000000000002E-2</v>
      </c>
      <c r="C3" s="18">
        <v>0.40200000000000002</v>
      </c>
      <c r="D3" s="18">
        <v>1.0739000000000001</v>
      </c>
      <c r="E3" s="18">
        <v>9.4000000000000004E-3</v>
      </c>
      <c r="F3" s="18">
        <v>5.28E-2</v>
      </c>
      <c r="G3" s="18">
        <v>-1.897</v>
      </c>
      <c r="H3" s="18">
        <v>1.2214</v>
      </c>
      <c r="I3" s="6">
        <v>0.15</v>
      </c>
      <c r="J3" s="6">
        <v>-6.3899999999999998E-2</v>
      </c>
      <c r="K3" s="18">
        <v>4.1300000000000003E-2</v>
      </c>
    </row>
    <row r="4" spans="1:11" x14ac:dyDescent="0.2">
      <c r="A4" s="17" t="s">
        <v>82</v>
      </c>
      <c r="B4" s="18">
        <v>8.6E-3</v>
      </c>
      <c r="C4" s="18">
        <v>8.1000000000000003E-2</v>
      </c>
      <c r="D4" s="18">
        <v>1.0086999999999999</v>
      </c>
      <c r="E4" s="18">
        <v>1.1000000000000001E-3</v>
      </c>
      <c r="F4" s="18">
        <v>1.06E-2</v>
      </c>
      <c r="G4" s="18">
        <v>0.26800000000000002</v>
      </c>
      <c r="H4" s="18">
        <v>0.1686</v>
      </c>
      <c r="I4" s="6">
        <v>1.3072999999999999</v>
      </c>
      <c r="J4" s="6">
        <v>8.9999999999999993E-3</v>
      </c>
      <c r="K4" s="18">
        <v>5.7000000000000002E-3</v>
      </c>
    </row>
    <row r="5" spans="1:11" x14ac:dyDescent="0.2">
      <c r="A5" s="17" t="s">
        <v>83</v>
      </c>
      <c r="B5" s="18">
        <v>-1.9400000000000001E-2</v>
      </c>
      <c r="C5" s="18">
        <v>0.89480000000000004</v>
      </c>
      <c r="D5" s="18">
        <v>0.98080000000000001</v>
      </c>
      <c r="E5" s="18">
        <v>-2.5000000000000001E-3</v>
      </c>
      <c r="F5" s="18">
        <v>0.11749999999999999</v>
      </c>
      <c r="G5" s="18">
        <v>2.9573</v>
      </c>
      <c r="H5" s="18">
        <v>0.82450000000000001</v>
      </c>
      <c r="I5" s="23">
        <v>19.2454</v>
      </c>
      <c r="J5" s="6">
        <v>9.9599999999999994E-2</v>
      </c>
      <c r="K5" s="18">
        <v>2.7699999999999999E-2</v>
      </c>
    </row>
    <row r="6" spans="1:11" x14ac:dyDescent="0.2">
      <c r="A6" s="17" t="s">
        <v>85</v>
      </c>
      <c r="B6" s="18">
        <v>-0.10489999999999999</v>
      </c>
      <c r="C6" s="18">
        <v>0.1482</v>
      </c>
      <c r="D6" s="18">
        <v>0.90039999999999998</v>
      </c>
      <c r="E6" s="18">
        <v>-1.38E-2</v>
      </c>
      <c r="F6" s="18">
        <v>1.95E-2</v>
      </c>
      <c r="G6" s="18">
        <v>-0.18559999999999999</v>
      </c>
      <c r="H6" s="18">
        <v>0.25659999999999999</v>
      </c>
      <c r="I6" s="6">
        <v>0.8306</v>
      </c>
      <c r="J6" s="6">
        <v>-6.1999999999999998E-3</v>
      </c>
      <c r="K6" s="18">
        <v>8.6E-3</v>
      </c>
    </row>
    <row r="7" spans="1:11" x14ac:dyDescent="0.2">
      <c r="A7" s="17" t="s">
        <v>86</v>
      </c>
      <c r="B7" s="18">
        <v>-0.31230000000000002</v>
      </c>
      <c r="C7" s="18">
        <v>0.93889999999999996</v>
      </c>
      <c r="D7" s="18">
        <v>0.73170000000000002</v>
      </c>
      <c r="E7" s="18">
        <v>-4.1000000000000002E-2</v>
      </c>
      <c r="F7" s="18">
        <v>0.12330000000000001</v>
      </c>
      <c r="G7" s="18">
        <v>0.70040000000000002</v>
      </c>
      <c r="H7" s="18">
        <v>0.79749999999999999</v>
      </c>
      <c r="I7" s="6">
        <v>2.0145</v>
      </c>
      <c r="J7" s="6">
        <v>2.3599999999999999E-2</v>
      </c>
      <c r="K7" s="18">
        <v>2.6800000000000001E-2</v>
      </c>
    </row>
    <row r="8" spans="1:11" x14ac:dyDescent="0.2">
      <c r="A8" s="17" t="s">
        <v>87</v>
      </c>
      <c r="B8" s="18">
        <v>-7.0000000000000001E-3</v>
      </c>
      <c r="C8" s="18">
        <v>0.90069999999999995</v>
      </c>
      <c r="D8" s="18">
        <v>0.99299999999999999</v>
      </c>
      <c r="E8" s="18">
        <v>-8.9999999999999998E-4</v>
      </c>
      <c r="F8" s="18">
        <v>0.1183</v>
      </c>
      <c r="G8" s="18">
        <v>2.3780000000000001</v>
      </c>
      <c r="H8" s="18">
        <v>0.77459999999999996</v>
      </c>
      <c r="I8" s="6">
        <v>10.782999999999999</v>
      </c>
      <c r="J8" s="6">
        <v>8.0100000000000005E-2</v>
      </c>
      <c r="K8" s="18">
        <v>2.5499999999999998E-2</v>
      </c>
    </row>
    <row r="9" spans="1:11" x14ac:dyDescent="0.2">
      <c r="A9" s="17" t="s">
        <v>88</v>
      </c>
      <c r="B9" s="18">
        <v>0.1484</v>
      </c>
      <c r="C9" s="18">
        <v>0.96699999999999997</v>
      </c>
      <c r="D9" s="18">
        <v>1.1599999999999999</v>
      </c>
      <c r="E9" s="18">
        <v>1.95E-2</v>
      </c>
      <c r="F9" s="18">
        <v>0.127</v>
      </c>
      <c r="G9" s="18">
        <v>0.54569999999999996</v>
      </c>
      <c r="H9" s="18">
        <v>0.88970000000000005</v>
      </c>
      <c r="I9" s="6">
        <v>1.7258</v>
      </c>
      <c r="J9" s="6">
        <v>1.84E-2</v>
      </c>
      <c r="K9" s="18">
        <v>2.9899999999999999E-2</v>
      </c>
    </row>
    <row r="10" spans="1:11" x14ac:dyDescent="0.2">
      <c r="A10" s="17" t="s">
        <v>89</v>
      </c>
      <c r="B10" s="18">
        <v>3.6499999999999998E-2</v>
      </c>
      <c r="C10" s="18">
        <v>0.96050000000000002</v>
      </c>
      <c r="D10" s="18">
        <v>1.0371999999999999</v>
      </c>
      <c r="E10" s="18">
        <v>4.7999999999999996E-3</v>
      </c>
      <c r="F10" s="18">
        <v>0.12620000000000001</v>
      </c>
      <c r="G10" s="18">
        <v>-2.1949999999999998</v>
      </c>
      <c r="H10" s="18">
        <v>1.3468</v>
      </c>
      <c r="I10" s="6">
        <v>0.1114</v>
      </c>
      <c r="J10" s="6">
        <v>-7.3899999999999993E-2</v>
      </c>
      <c r="K10" s="18">
        <v>4.53E-2</v>
      </c>
    </row>
    <row r="11" spans="1:11" x14ac:dyDescent="0.2">
      <c r="A11" s="17" t="s">
        <v>90</v>
      </c>
      <c r="B11" s="18">
        <v>7.3300000000000004E-2</v>
      </c>
      <c r="C11" s="18">
        <v>0.13719999999999999</v>
      </c>
      <c r="D11" s="18">
        <v>1.0760000000000001</v>
      </c>
      <c r="E11" s="18">
        <v>9.5999999999999992E-3</v>
      </c>
      <c r="F11" s="18">
        <v>1.7999999999999999E-2</v>
      </c>
      <c r="G11" s="18">
        <v>-0.35959999999999998</v>
      </c>
      <c r="H11" s="18">
        <v>0.28370000000000001</v>
      </c>
      <c r="I11" s="6">
        <v>0.69799999999999995</v>
      </c>
      <c r="J11" s="6">
        <v>-1.21E-2</v>
      </c>
      <c r="K11" s="18">
        <v>9.4999999999999998E-3</v>
      </c>
    </row>
    <row r="12" spans="1:11" x14ac:dyDescent="0.2">
      <c r="A12" s="17" t="s">
        <v>79</v>
      </c>
      <c r="B12" s="18">
        <v>5.5300000000000002E-2</v>
      </c>
      <c r="C12" s="18">
        <v>0.31440000000000001</v>
      </c>
      <c r="D12" s="18">
        <v>1.0569</v>
      </c>
      <c r="E12" s="18">
        <v>7.3000000000000001E-3</v>
      </c>
      <c r="F12" s="18">
        <v>4.1300000000000003E-2</v>
      </c>
      <c r="G12" s="18">
        <v>-0.1673</v>
      </c>
      <c r="H12" s="18">
        <v>0.70079999999999998</v>
      </c>
      <c r="I12" s="6">
        <v>0.84589999999999999</v>
      </c>
      <c r="J12" s="6">
        <v>-5.5999999999999999E-3</v>
      </c>
      <c r="K12" s="18">
        <v>2.3599999999999999E-2</v>
      </c>
    </row>
    <row r="13" spans="1:11" x14ac:dyDescent="0.2">
      <c r="A13" s="17" t="s">
        <v>91</v>
      </c>
      <c r="B13" s="18">
        <v>-4.2200000000000001E-2</v>
      </c>
      <c r="C13" s="18">
        <v>0.31609999999999999</v>
      </c>
      <c r="D13" s="18">
        <v>0.95860000000000001</v>
      </c>
      <c r="E13" s="18">
        <v>-5.4999999999999997E-3</v>
      </c>
      <c r="F13" s="18">
        <v>4.1500000000000002E-2</v>
      </c>
      <c r="G13" s="18">
        <v>0.1956</v>
      </c>
      <c r="H13" s="18">
        <v>0.70820000000000005</v>
      </c>
      <c r="I13" s="6">
        <v>1.2161</v>
      </c>
      <c r="J13" s="6">
        <v>6.6E-3</v>
      </c>
      <c r="K13" s="18">
        <v>2.3900000000000001E-2</v>
      </c>
    </row>
    <row r="14" spans="1:11" x14ac:dyDescent="0.2">
      <c r="A14" s="17" t="s">
        <v>92</v>
      </c>
      <c r="B14" s="18">
        <v>-3.2399999999999998E-2</v>
      </c>
      <c r="C14" s="18">
        <v>5.3499999999999999E-2</v>
      </c>
      <c r="D14" s="18">
        <v>0.96819999999999995</v>
      </c>
      <c r="E14" s="18">
        <v>-4.3E-3</v>
      </c>
      <c r="F14" s="18">
        <v>7.0000000000000001E-3</v>
      </c>
      <c r="G14" s="18">
        <v>-0.21879999999999999</v>
      </c>
      <c r="H14" s="18">
        <v>0.11940000000000001</v>
      </c>
      <c r="I14" s="6">
        <v>0.8034</v>
      </c>
      <c r="J14" s="6">
        <v>-7.4000000000000003E-3</v>
      </c>
      <c r="K14" s="18">
        <v>4.0000000000000001E-3</v>
      </c>
    </row>
    <row r="15" spans="1:11" x14ac:dyDescent="0.2">
      <c r="A15" s="17" t="s">
        <v>93</v>
      </c>
      <c r="B15" s="18">
        <v>0.1221</v>
      </c>
      <c r="C15" s="18">
        <v>0.10979999999999999</v>
      </c>
      <c r="D15" s="18">
        <v>1.1297999999999999</v>
      </c>
      <c r="E15" s="18">
        <v>1.6E-2</v>
      </c>
      <c r="F15" s="18">
        <v>1.44E-2</v>
      </c>
      <c r="G15" s="18">
        <v>-0.57820000000000005</v>
      </c>
      <c r="H15" s="18">
        <v>0.2394</v>
      </c>
      <c r="I15" s="6">
        <v>0.56089999999999995</v>
      </c>
      <c r="J15" s="6">
        <v>-1.95E-2</v>
      </c>
      <c r="K15" s="18">
        <v>8.0000000000000002E-3</v>
      </c>
    </row>
    <row r="16" spans="1:11" x14ac:dyDescent="0.2">
      <c r="A16" s="17" t="s">
        <v>94</v>
      </c>
      <c r="B16" s="18">
        <v>2.8899999999999999E-2</v>
      </c>
      <c r="C16" s="18">
        <v>7.9399999999999998E-2</v>
      </c>
      <c r="D16" s="18">
        <v>1.0293000000000001</v>
      </c>
      <c r="E16" s="18">
        <v>3.8E-3</v>
      </c>
      <c r="F16" s="18">
        <v>1.04E-2</v>
      </c>
      <c r="G16" s="18">
        <v>-0.38350000000000001</v>
      </c>
      <c r="H16" s="18">
        <v>0.18720000000000001</v>
      </c>
      <c r="I16" s="6">
        <v>0.68149999999999999</v>
      </c>
      <c r="J16" s="6">
        <v>-1.29E-2</v>
      </c>
      <c r="K16" s="18">
        <v>6.3E-3</v>
      </c>
    </row>
    <row r="17" spans="1:11" x14ac:dyDescent="0.2">
      <c r="A17" s="17" t="s">
        <v>95</v>
      </c>
      <c r="B17" s="18">
        <v>9.5000000000000001E-2</v>
      </c>
      <c r="C17" s="18">
        <v>4.9700000000000001E-2</v>
      </c>
      <c r="D17" s="18">
        <v>1.0996999999999999</v>
      </c>
      <c r="E17" s="18">
        <v>1.2500000000000001E-2</v>
      </c>
      <c r="F17" s="18">
        <v>6.4999999999999997E-3</v>
      </c>
      <c r="G17" s="18">
        <v>-0.34589999999999999</v>
      </c>
      <c r="H17" s="18">
        <v>0.1094</v>
      </c>
      <c r="I17" s="6">
        <v>0.70760000000000001</v>
      </c>
      <c r="J17" s="6">
        <v>-1.1599999999999999E-2</v>
      </c>
      <c r="K17" s="18">
        <v>3.5999999999999999E-3</v>
      </c>
    </row>
    <row r="18" spans="1:11" x14ac:dyDescent="0.2">
      <c r="A18" s="17" t="s">
        <v>107</v>
      </c>
      <c r="B18" s="18" t="s">
        <v>108</v>
      </c>
      <c r="C18" s="18" t="s">
        <v>108</v>
      </c>
      <c r="D18" s="18" t="s">
        <v>108</v>
      </c>
      <c r="E18" s="18" t="s">
        <v>108</v>
      </c>
      <c r="F18" s="18" t="s">
        <v>108</v>
      </c>
      <c r="G18" s="18">
        <v>1.847</v>
      </c>
      <c r="H18" s="18">
        <v>0.23599999999999999</v>
      </c>
      <c r="I18" s="6">
        <v>6.3404999999999996</v>
      </c>
      <c r="J18" s="6">
        <v>6.2199999999999998E-2</v>
      </c>
      <c r="K18" s="18">
        <v>6.8999999999999999E-3</v>
      </c>
    </row>
    <row r="19" spans="1:11" x14ac:dyDescent="0.2">
      <c r="A19" s="17" t="s">
        <v>98</v>
      </c>
      <c r="B19" s="18">
        <v>-7.2300000000000003E-2</v>
      </c>
      <c r="C19" s="18">
        <v>6.0100000000000001E-2</v>
      </c>
      <c r="D19" s="18">
        <v>0.93020000000000003</v>
      </c>
      <c r="E19" s="18">
        <v>-9.4999999999999998E-3</v>
      </c>
      <c r="F19" s="18">
        <v>7.9000000000000008E-3</v>
      </c>
      <c r="G19" s="18">
        <v>0.17080000000000001</v>
      </c>
      <c r="H19" s="18">
        <v>0.13750000000000001</v>
      </c>
      <c r="I19" s="6">
        <v>1.1862999999999999</v>
      </c>
      <c r="J19" s="6">
        <v>5.7999999999999996E-3</v>
      </c>
      <c r="K19" s="18">
        <v>4.5999999999999999E-3</v>
      </c>
    </row>
    <row r="20" spans="1:11" x14ac:dyDescent="0.2">
      <c r="A20" s="17" t="s">
        <v>99</v>
      </c>
      <c r="B20" s="18">
        <v>-6.9599999999999995E-2</v>
      </c>
      <c r="C20" s="18">
        <v>5.9400000000000001E-2</v>
      </c>
      <c r="D20" s="18">
        <v>0.93279999999999996</v>
      </c>
      <c r="E20" s="18">
        <v>-9.1000000000000004E-3</v>
      </c>
      <c r="F20" s="18">
        <v>7.7999999999999996E-3</v>
      </c>
      <c r="G20" s="18">
        <v>-0.32869999999999999</v>
      </c>
      <c r="H20" s="18">
        <v>0.1152</v>
      </c>
      <c r="I20" s="6">
        <v>0.71989999999999998</v>
      </c>
      <c r="J20" s="6">
        <v>-1.11E-2</v>
      </c>
      <c r="K20" s="18">
        <v>3.8E-3</v>
      </c>
    </row>
    <row r="21" spans="1:11" x14ac:dyDescent="0.2">
      <c r="A21" s="19" t="s">
        <v>100</v>
      </c>
      <c r="B21" s="18">
        <v>-0.14940000000000001</v>
      </c>
      <c r="C21" s="18">
        <v>0.65049999999999997</v>
      </c>
      <c r="D21" s="18">
        <v>0.86119999999999997</v>
      </c>
      <c r="E21" s="18">
        <v>-1.9599999999999999E-2</v>
      </c>
      <c r="F21" s="18">
        <v>8.5500000000000007E-2</v>
      </c>
      <c r="G21" s="18">
        <v>-0.1134</v>
      </c>
      <c r="H21" s="18">
        <v>1.8738999999999999</v>
      </c>
      <c r="I21" s="6">
        <v>0.89280000000000004</v>
      </c>
      <c r="J21" s="6">
        <v>-3.8E-3</v>
      </c>
      <c r="K21" s="18">
        <v>6.3100000000000003E-2</v>
      </c>
    </row>
    <row r="22" spans="1:11" x14ac:dyDescent="0.2">
      <c r="A22" s="17" t="s">
        <v>101</v>
      </c>
      <c r="B22" s="18">
        <v>-0.30259999999999998</v>
      </c>
      <c r="C22" s="18">
        <v>0.1784</v>
      </c>
      <c r="D22" s="18">
        <v>0.7389</v>
      </c>
      <c r="E22" s="18">
        <v>-3.9699999999999999E-2</v>
      </c>
      <c r="F22" s="18">
        <v>2.3400000000000001E-2</v>
      </c>
      <c r="G22" s="18">
        <v>-0.57569999999999999</v>
      </c>
      <c r="H22" s="18">
        <v>0.41549999999999998</v>
      </c>
      <c r="I22" s="6">
        <v>0.56230000000000002</v>
      </c>
      <c r="J22" s="6">
        <v>-1.9400000000000001E-2</v>
      </c>
      <c r="K22" s="18">
        <v>1.4E-2</v>
      </c>
    </row>
    <row r="23" spans="1:11" x14ac:dyDescent="0.2">
      <c r="A23" s="17" t="s">
        <v>102</v>
      </c>
      <c r="B23" s="18">
        <v>-0.16500000000000001</v>
      </c>
      <c r="C23" s="18">
        <v>0.19700000000000001</v>
      </c>
      <c r="D23" s="18">
        <v>0.84789999999999999</v>
      </c>
      <c r="E23" s="18">
        <v>-2.1700000000000001E-2</v>
      </c>
      <c r="F23" s="18">
        <v>2.5899999999999999E-2</v>
      </c>
      <c r="G23" s="18">
        <v>-0.79790000000000005</v>
      </c>
      <c r="H23" s="18">
        <v>0.44850000000000001</v>
      </c>
      <c r="I23" s="6">
        <v>0.45029999999999998</v>
      </c>
      <c r="J23" s="6">
        <v>-2.69E-2</v>
      </c>
      <c r="K23" s="18">
        <v>1.4999999999999999E-2</v>
      </c>
    </row>
    <row r="24" spans="1:11" x14ac:dyDescent="0.2">
      <c r="A24" s="17" t="s">
        <v>103</v>
      </c>
      <c r="B24" s="18">
        <v>-0.21010000000000001</v>
      </c>
      <c r="C24" s="18">
        <v>0.16550000000000001</v>
      </c>
      <c r="D24" s="18">
        <v>0.8105</v>
      </c>
      <c r="E24" s="18">
        <v>-2.76E-2</v>
      </c>
      <c r="F24" s="18">
        <v>2.1700000000000001E-2</v>
      </c>
      <c r="G24" s="18">
        <v>-0.3422</v>
      </c>
      <c r="H24" s="18">
        <v>0.33579999999999999</v>
      </c>
      <c r="I24" s="6">
        <v>0.71020000000000005</v>
      </c>
      <c r="J24" s="6">
        <v>-1.15E-2</v>
      </c>
      <c r="K24" s="18">
        <v>1.1299999999999999E-2</v>
      </c>
    </row>
    <row r="25" spans="1:11" x14ac:dyDescent="0.2">
      <c r="A25" s="17" t="s">
        <v>104</v>
      </c>
      <c r="B25" s="18">
        <v>-0.22470000000000001</v>
      </c>
      <c r="C25" s="18">
        <v>0.15759999999999999</v>
      </c>
      <c r="D25" s="18">
        <v>0.79879999999999995</v>
      </c>
      <c r="E25" s="18">
        <v>-2.9499999999999998E-2</v>
      </c>
      <c r="F25" s="18">
        <v>2.07E-2</v>
      </c>
      <c r="G25" s="18">
        <v>0.16070000000000001</v>
      </c>
      <c r="H25" s="18">
        <v>0.32129999999999997</v>
      </c>
      <c r="I25" s="6">
        <v>1.1744000000000001</v>
      </c>
      <c r="J25" s="6">
        <v>5.4000000000000003E-3</v>
      </c>
      <c r="K25" s="18">
        <v>1.0800000000000001E-2</v>
      </c>
    </row>
    <row r="26" spans="1:11" x14ac:dyDescent="0.2">
      <c r="A26" s="17" t="s">
        <v>105</v>
      </c>
      <c r="B26" s="18">
        <v>-0.19839999999999999</v>
      </c>
      <c r="C26" s="18">
        <v>0.18190000000000001</v>
      </c>
      <c r="D26" s="18">
        <v>0.82</v>
      </c>
      <c r="E26" s="18">
        <v>-2.6100000000000002E-2</v>
      </c>
      <c r="F26" s="18">
        <v>2.3900000000000001E-2</v>
      </c>
      <c r="G26" s="18">
        <v>-0.55430000000000001</v>
      </c>
      <c r="H26" s="18">
        <v>0.44690000000000002</v>
      </c>
      <c r="I26" s="6">
        <v>0.57450000000000001</v>
      </c>
      <c r="J26" s="6">
        <v>-1.8700000000000001E-2</v>
      </c>
      <c r="K26" s="18">
        <v>1.4999999999999999E-2</v>
      </c>
    </row>
    <row r="27" spans="1:11" x14ac:dyDescent="0.2">
      <c r="A27" s="20" t="s">
        <v>109</v>
      </c>
      <c r="B27" s="21">
        <v>-6.7000000000000004E-2</v>
      </c>
      <c r="C27" s="21">
        <v>0.1033</v>
      </c>
      <c r="D27" s="21">
        <v>0.93520000000000003</v>
      </c>
      <c r="E27" s="21">
        <v>-8.8000000000000005E-3</v>
      </c>
      <c r="F27" s="21">
        <v>1.3599999999999999E-2</v>
      </c>
      <c r="G27" s="21">
        <v>-0.61240000000000006</v>
      </c>
      <c r="H27" s="21">
        <v>0.2409</v>
      </c>
      <c r="I27" s="8">
        <v>0.54210000000000003</v>
      </c>
      <c r="J27" s="8">
        <v>-2.06E-2</v>
      </c>
      <c r="K27" s="21">
        <v>8.0000000000000002E-3</v>
      </c>
    </row>
  </sheetData>
  <mergeCells count="3">
    <mergeCell ref="A1:A2"/>
    <mergeCell ref="B1:F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Diferencia_medias</vt:lpstr>
      <vt:lpstr>Modelo de regresión Logit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Ximena Dávalos</cp:lastModifiedBy>
  <dcterms:created xsi:type="dcterms:W3CDTF">2026-08-13T16:52:32Z</dcterms:created>
  <dcterms:modified xsi:type="dcterms:W3CDTF">2026-08-13T23:42:41Z</dcterms:modified>
</cp:coreProperties>
</file>